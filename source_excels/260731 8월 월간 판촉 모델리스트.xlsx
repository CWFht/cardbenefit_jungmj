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U:\그로스마케팅팀2_금융판촉\1. 금융판촉팀\0. 금융판촉 업무연락 공지용\2026년 공문\8월\"/>
    </mc:Choice>
  </mc:AlternateContent>
  <xr:revisionPtr revIDLastSave="0" documentId="13_ncr:1_{989F6625-488A-482A-AA0C-81099CC04FB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단품리스트" sheetId="5" r:id="rId1"/>
    <sheet name="동시리스트" sheetId="4" r:id="rId2"/>
    <sheet name="하이라이트 플러스 (2)" sheetId="9" state="hidden" r:id="rId3"/>
  </sheets>
  <definedNames>
    <definedName name="_xlnm._FilterDatabase" localSheetId="0" hidden="1">단품리스트!$B$5:$V$71</definedName>
    <definedName name="_xlnm._FilterDatabase" localSheetId="1" hidden="1">동시리스트!$B$5:$Y$160</definedName>
    <definedName name="_xlnm.Print_Area" localSheetId="0">단품리스트!$B$2:$V$72</definedName>
    <definedName name="_xlnm.Print_Area" localSheetId="1">동시리스트!$A$1:$Y$206</definedName>
    <definedName name="_xlnm.Print_Titles" localSheetId="0">단품리스트!$2:$5</definedName>
    <definedName name="_xlnm.Print_Titles" localSheetId="1">동시리스트!$2:$5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41" i="4" l="1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B169" i="4"/>
  <c r="B168" i="4"/>
  <c r="B167" i="4"/>
  <c r="B166" i="4"/>
  <c r="B165" i="4"/>
  <c r="B164" i="4"/>
  <c r="B163" i="4"/>
  <c r="B162" i="4"/>
  <c r="B161" i="4"/>
  <c r="L138" i="4"/>
  <c r="L139" i="4"/>
  <c r="L140" i="4"/>
  <c r="L6" i="4" l="1"/>
  <c r="L7" i="4"/>
  <c r="L8" i="4"/>
  <c r="L9" i="4"/>
  <c r="L10" i="4"/>
  <c r="L11" i="4"/>
  <c r="L12" i="4"/>
  <c r="L13" i="4"/>
  <c r="L14" i="4"/>
  <c r="L57" i="4" l="1"/>
  <c r="L66" i="4"/>
  <c r="L65" i="4"/>
  <c r="L64" i="4"/>
  <c r="L63" i="4"/>
  <c r="L62" i="4"/>
  <c r="L61" i="4"/>
  <c r="L60" i="4"/>
  <c r="L59" i="4"/>
  <c r="L58" i="4"/>
  <c r="L56" i="4"/>
  <c r="L55" i="4"/>
  <c r="L54" i="4"/>
  <c r="L53" i="4"/>
  <c r="L52" i="4"/>
  <c r="L51" i="4"/>
  <c r="L50" i="4"/>
  <c r="L67" i="4" l="1"/>
  <c r="L68" i="4"/>
  <c r="L69" i="4"/>
  <c r="L70" i="4"/>
  <c r="B142" i="4" l="1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41" i="4"/>
  <c r="B7" i="5" l="1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52" i="4" l="1"/>
  <c r="B53" i="4"/>
  <c r="B54" i="4"/>
  <c r="L20" i="4" l="1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15" i="4" l="1"/>
  <c r="L16" i="4"/>
  <c r="L17" i="4"/>
  <c r="L18" i="4"/>
  <c r="L19" i="4"/>
  <c r="F9" i="5" l="1"/>
  <c r="B2" i="4"/>
  <c r="F12" i="5" l="1"/>
  <c r="F17" i="5"/>
  <c r="F16" i="5"/>
  <c r="F15" i="5"/>
  <c r="F14" i="5"/>
  <c r="F13" i="5"/>
  <c r="F11" i="5"/>
  <c r="F10" i="5"/>
  <c r="F8" i="5"/>
  <c r="F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6" i="5"/>
  <c r="B131" i="4" l="1"/>
  <c r="B132" i="4"/>
  <c r="B133" i="4"/>
  <c r="B134" i="4"/>
  <c r="B135" i="4"/>
  <c r="B136" i="4"/>
  <c r="B137" i="4"/>
  <c r="B138" i="4"/>
  <c r="B139" i="4"/>
  <c r="B140" i="4"/>
  <c r="B80" i="4" l="1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L137" i="4" l="1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B79" i="4" l="1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B61" i="4" l="1"/>
  <c r="B60" i="4"/>
  <c r="B59" i="4"/>
  <c r="B58" i="4"/>
  <c r="B57" i="4"/>
  <c r="B56" i="4"/>
  <c r="B55" i="4"/>
  <c r="B51" i="4" l="1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 l="1"/>
  <c r="B11" i="4"/>
  <c r="B10" i="4"/>
  <c r="B9" i="4"/>
  <c r="B8" i="4"/>
  <c r="B7" i="4"/>
  <c r="B6" i="4"/>
  <c r="B6" i="5" l="1"/>
</calcChain>
</file>

<file path=xl/sharedStrings.xml><?xml version="1.0" encoding="utf-8"?>
<sst xmlns="http://schemas.openxmlformats.org/spreadsheetml/2006/main" count="1963" uniqueCount="486">
  <si>
    <t>구   분</t>
    <phoneticPr fontId="2" type="noConversion"/>
  </si>
  <si>
    <t>품목</t>
    <phoneticPr fontId="2" type="noConversion"/>
  </si>
  <si>
    <t>혜택</t>
    <phoneticPr fontId="2" type="noConversion"/>
  </si>
  <si>
    <t>월간 캐시백</t>
    <phoneticPr fontId="2" type="noConversion"/>
  </si>
  <si>
    <t>게릴라 캐시백</t>
    <phoneticPr fontId="2" type="noConversion"/>
  </si>
  <si>
    <t>비고</t>
    <phoneticPr fontId="2" type="noConversion"/>
  </si>
  <si>
    <t>금액</t>
    <phoneticPr fontId="2" type="noConversion"/>
  </si>
  <si>
    <t>날짜</t>
    <phoneticPr fontId="2" type="noConversion"/>
  </si>
  <si>
    <t>조건</t>
    <phoneticPr fontId="2" type="noConversion"/>
  </si>
  <si>
    <t>메이커</t>
  </si>
  <si>
    <t>[단위 : 원]</t>
    <phoneticPr fontId="2" type="noConversion"/>
  </si>
  <si>
    <t xml:space="preserve">★ 개인신용카드 한정 캐시백 지급 가능 (체크/사업자/법인/해외카드 지급 불가), HLM 기준 1인 3회 </t>
    <phoneticPr fontId="2" type="noConversion"/>
  </si>
  <si>
    <t>A모델</t>
  </si>
  <si>
    <t>B모델</t>
  </si>
  <si>
    <t>C모델</t>
  </si>
  <si>
    <t>모델코드</t>
    <phoneticPr fontId="2" type="noConversion"/>
  </si>
  <si>
    <t>노트북</t>
  </si>
  <si>
    <r>
      <t>[</t>
    </r>
    <r>
      <rPr>
        <b/>
        <sz val="11"/>
        <color theme="1"/>
        <rFont val="맑은 고딕"/>
        <family val="3"/>
        <charset val="129"/>
        <scheme val="minor"/>
      </rPr>
      <t>대상카드</t>
    </r>
    <r>
      <rPr>
        <sz val="11"/>
        <color theme="1"/>
        <rFont val="맑은 고딕"/>
        <family val="2"/>
        <charset val="129"/>
        <scheme val="minor"/>
      </rPr>
      <t xml:space="preserve"> - </t>
    </r>
    <r>
      <rPr>
        <b/>
        <sz val="11"/>
        <color rgb="FFFF0000"/>
        <rFont val="맑은 고딕"/>
        <family val="3"/>
        <charset val="129"/>
        <scheme val="minor"/>
      </rPr>
      <t xml:space="preserve">A </t>
    </r>
    <r>
      <rPr>
        <b/>
        <sz val="11"/>
        <rFont val="맑은 고딕"/>
        <family val="3"/>
        <charset val="129"/>
        <scheme val="minor"/>
      </rPr>
      <t>(삼성)</t>
    </r>
    <r>
      <rPr>
        <b/>
        <sz val="11"/>
        <color rgb="FFFF0000"/>
        <rFont val="맑은 고딕"/>
        <family val="3"/>
        <charset val="129"/>
        <scheme val="minor"/>
      </rPr>
      <t xml:space="preserve"> :</t>
    </r>
    <r>
      <rPr>
        <sz val="11"/>
        <color theme="1"/>
        <rFont val="맑은 고딕"/>
        <family val="2"/>
        <charset val="129"/>
        <scheme val="minor"/>
      </rPr>
      <t xml:space="preserve"> 롯데,현대,KB국민,</t>
    </r>
    <r>
      <rPr>
        <b/>
        <sz val="11"/>
        <color rgb="FFFF0000"/>
        <rFont val="맑은 고딕"/>
        <family val="3"/>
        <charset val="129"/>
        <scheme val="minor"/>
      </rPr>
      <t>삼성</t>
    </r>
    <r>
      <rPr>
        <sz val="11"/>
        <color theme="1"/>
        <rFont val="맑은 고딕"/>
        <family val="2"/>
        <charset val="129"/>
        <scheme val="minor"/>
      </rPr>
      <t xml:space="preserve"> /      </t>
    </r>
    <r>
      <rPr>
        <b/>
        <sz val="11"/>
        <color rgb="FFFF0000"/>
        <rFont val="맑은 고딕"/>
        <family val="3"/>
        <charset val="129"/>
        <scheme val="minor"/>
      </rPr>
      <t xml:space="preserve">B </t>
    </r>
    <r>
      <rPr>
        <sz val="11"/>
        <rFont val="맑은 고딕"/>
        <family val="3"/>
        <charset val="129"/>
        <scheme val="minor"/>
      </rPr>
      <t>(LG)</t>
    </r>
    <r>
      <rPr>
        <b/>
        <sz val="11"/>
        <color theme="1"/>
        <rFont val="맑은 고딕"/>
        <family val="3"/>
        <charset val="129"/>
        <scheme val="minor"/>
      </rPr>
      <t xml:space="preserve"> : </t>
    </r>
    <r>
      <rPr>
        <sz val="11"/>
        <color theme="1"/>
        <rFont val="맑은 고딕"/>
        <family val="2"/>
        <charset val="129"/>
        <scheme val="minor"/>
      </rPr>
      <t>롯데,현대,KB국민,</t>
    </r>
    <r>
      <rPr>
        <b/>
        <sz val="11"/>
        <color rgb="FFFF0000"/>
        <rFont val="맑은 고딕"/>
        <family val="3"/>
        <charset val="129"/>
        <scheme val="minor"/>
      </rPr>
      <t>신한</t>
    </r>
    <r>
      <rPr>
        <sz val="11"/>
        <color theme="1"/>
        <rFont val="맑은 고딕"/>
        <family val="2"/>
        <charset val="129"/>
        <scheme val="minor"/>
      </rPr>
      <t xml:space="preserve"> /     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C </t>
    </r>
    <r>
      <rPr>
        <sz val="11"/>
        <rFont val="맑은 고딕"/>
        <family val="3"/>
        <charset val="129"/>
        <scheme val="minor"/>
      </rPr>
      <t>(기타)</t>
    </r>
    <r>
      <rPr>
        <b/>
        <sz val="11"/>
        <color theme="1"/>
        <rFont val="맑은 고딕"/>
        <family val="3"/>
        <charset val="129"/>
        <scheme val="minor"/>
      </rPr>
      <t xml:space="preserve"> : </t>
    </r>
    <r>
      <rPr>
        <sz val="11"/>
        <color theme="1"/>
        <rFont val="맑은 고딕"/>
        <family val="2"/>
        <charset val="129"/>
        <scheme val="minor"/>
      </rPr>
      <t>롯데,현대,KB국민,</t>
    </r>
    <r>
      <rPr>
        <b/>
        <sz val="11"/>
        <color rgb="FFFF0000"/>
        <rFont val="맑은 고딕"/>
        <family val="3"/>
        <charset val="129"/>
        <scheme val="minor"/>
      </rPr>
      <t>삼성,신한</t>
    </r>
    <r>
      <rPr>
        <sz val="11"/>
        <color theme="1"/>
        <rFont val="맑은 고딕"/>
        <family val="2"/>
        <charset val="129"/>
        <scheme val="minor"/>
      </rPr>
      <t xml:space="preserve"> ]</t>
    </r>
    <phoneticPr fontId="2" type="noConversion"/>
  </si>
  <si>
    <t>추가 캐시백</t>
    <phoneticPr fontId="2" type="noConversion"/>
  </si>
  <si>
    <t>SC5MBR81H.AKOR</t>
  </si>
  <si>
    <t>TV</t>
  </si>
  <si>
    <t>OLED65B4HNA.AKRG</t>
  </si>
  <si>
    <t>75QNED80TKA.AKRG</t>
  </si>
  <si>
    <t>WF25CB8895BE</t>
  </si>
  <si>
    <t>DV22DB8890BE</t>
  </si>
  <si>
    <t>김치냉장고</t>
  </si>
  <si>
    <t>K333SN141.AKOR</t>
  </si>
  <si>
    <t>OLED77C4FNA.AKRG</t>
  </si>
  <si>
    <t>86QNED91TKA.AKRG</t>
  </si>
  <si>
    <t>RD20VNT.AKOR</t>
  </si>
  <si>
    <t>DF24CB9900ER</t>
  </si>
  <si>
    <t>식기세척기</t>
  </si>
  <si>
    <t>안마의자</t>
  </si>
  <si>
    <t>A-FX707ZC-12535T</t>
  </si>
  <si>
    <t>A-FA617NSR-R7735T</t>
  </si>
  <si>
    <t>데스크탑</t>
  </si>
  <si>
    <t>커피머신</t>
  </si>
  <si>
    <t>EP-2220</t>
  </si>
  <si>
    <t>정수기</t>
  </si>
  <si>
    <t>THIN-15-B13VE-15R</t>
  </si>
  <si>
    <t>모바일</t>
  </si>
  <si>
    <t>SM-F741NLBAKOO</t>
  </si>
  <si>
    <t>SM-F741NLGAKOO</t>
  </si>
  <si>
    <t>SM-F741NZSAKOO</t>
  </si>
  <si>
    <t>SM-F741NZYAKOO</t>
  </si>
  <si>
    <t>SM-F956NDBAKOO</t>
  </si>
  <si>
    <t>SM-F956NLIAKOO</t>
  </si>
  <si>
    <t>SM-F956NZSAKOO</t>
  </si>
  <si>
    <t>SM-S921NZKEKOO</t>
  </si>
  <si>
    <t>SM-S921NZAEKOO</t>
  </si>
  <si>
    <t>SM-S921NZVEKOO</t>
  </si>
  <si>
    <t>SM-S921NZYEKOO</t>
  </si>
  <si>
    <t>FQ18ET4HA2.AKOR</t>
  </si>
  <si>
    <t>복합오븐</t>
  </si>
  <si>
    <t>MO22A7797CW1</t>
  </si>
  <si>
    <t>FH25EA.AKOR</t>
  </si>
  <si>
    <t>전기밥솥</t>
  </si>
  <si>
    <t>ZPC3231(T)</t>
  </si>
  <si>
    <t>RQ33C741101</t>
  </si>
  <si>
    <t>KQ85QC85AFXKR</t>
  </si>
  <si>
    <t>KQ75QD80AFXKR</t>
  </si>
  <si>
    <t>RF85DB9421AP</t>
  </si>
  <si>
    <t>RS84DG5202B4</t>
  </si>
  <si>
    <t>RT42CG6024S9</t>
  </si>
  <si>
    <t>S834MGG1D.CKOR</t>
  </si>
  <si>
    <t>BM580RS</t>
  </si>
  <si>
    <t>MRNF474CPI1</t>
  </si>
  <si>
    <t>CFZ-BF2010MS</t>
  </si>
  <si>
    <t>HRP255MDWE</t>
  </si>
  <si>
    <t>AF19DX838BZRS1</t>
  </si>
  <si>
    <t>AJ30BSS4P36SSY</t>
  </si>
  <si>
    <t>AJ30CSS4P36SSY</t>
  </si>
  <si>
    <t>FQ18EU2EB2.EKOR</t>
  </si>
  <si>
    <t>RP22C3111S9</t>
  </si>
  <si>
    <t>RQ49C94W101</t>
  </si>
  <si>
    <t>Z498MHRF23.AKOR</t>
  </si>
  <si>
    <t>GDQ48JPLISS</t>
  </si>
  <si>
    <t>WDL22JEWNSS</t>
  </si>
  <si>
    <t>WDQ48JRLRICS</t>
  </si>
  <si>
    <t>WDT33JPMXST</t>
  </si>
  <si>
    <t>ARK133MNM</t>
  </si>
  <si>
    <t>KQ65QND88AFXKR</t>
  </si>
  <si>
    <t>KQ65SC9SAFXKR</t>
  </si>
  <si>
    <t>KQ75QND88AFXKR</t>
  </si>
  <si>
    <t>KQ77SD90AFXKR</t>
  </si>
  <si>
    <t>KQ85QND88AFXKR</t>
  </si>
  <si>
    <t>KU55UD7000FXKR</t>
  </si>
  <si>
    <t>KU65UC8070FXKR</t>
  </si>
  <si>
    <t>86QNED80TKA.AKRG</t>
  </si>
  <si>
    <t>OLED77B4HNA.AKRG</t>
  </si>
  <si>
    <t>55UR342C9NC.AKRD</t>
  </si>
  <si>
    <t>65UR342C9NC.AKRD</t>
  </si>
  <si>
    <t>55C79B</t>
  </si>
  <si>
    <t>65C79B</t>
  </si>
  <si>
    <t>75C855</t>
  </si>
  <si>
    <t>85C855</t>
  </si>
  <si>
    <t>98C755</t>
  </si>
  <si>
    <t>DH55G3UBS</t>
  </si>
  <si>
    <t>DH55GSUBS</t>
  </si>
  <si>
    <t>DEC50U100</t>
  </si>
  <si>
    <t>WA18CG6K46BD</t>
  </si>
  <si>
    <t>WF21CB6650BE7N</t>
  </si>
  <si>
    <t>WF2522HDEEA</t>
  </si>
  <si>
    <t>WF2522HDRRP</t>
  </si>
  <si>
    <t>WF25D22DEEP</t>
  </si>
  <si>
    <t>WF2117HCEEC</t>
  </si>
  <si>
    <t>FX24VNT.AKOR</t>
  </si>
  <si>
    <t>T23MX9.AKOR1</t>
  </si>
  <si>
    <t>WL22GEHU.AKOR</t>
  </si>
  <si>
    <t>F21WDSP.AKOR</t>
  </si>
  <si>
    <t>AWM11DMW</t>
  </si>
  <si>
    <t>RH18WTSN.AKOR</t>
  </si>
  <si>
    <t>VR7MD97716G</t>
  </si>
  <si>
    <t>VS30D973HRE</t>
  </si>
  <si>
    <t>VS20C954AQB</t>
  </si>
  <si>
    <t>AX958BWE.AKOR</t>
  </si>
  <si>
    <t>B95AWBH.CKOR</t>
  </si>
  <si>
    <t>B95AWBTH.CKOR</t>
  </si>
  <si>
    <t>MICRO(Y24)</t>
  </si>
  <si>
    <t>OFF_S8_MAXV_ULTRA_AUTO</t>
  </si>
  <si>
    <t>OFF_S8MAX_V_ULTRA</t>
  </si>
  <si>
    <t>CS851KR_AED</t>
  </si>
  <si>
    <t>IW3241KR_(AED)</t>
  </si>
  <si>
    <t>DDX11</t>
  </si>
  <si>
    <t>DEX86</t>
  </si>
  <si>
    <t>DEX86_W</t>
  </si>
  <si>
    <t>CVC-AME1410UG</t>
  </si>
  <si>
    <t>XU-6500</t>
  </si>
  <si>
    <t>AIRWRAPORIGINPLUS(Y24)</t>
  </si>
  <si>
    <t>SUPERSONICBN(Y24)</t>
  </si>
  <si>
    <t>AX100DB990EDD</t>
  </si>
  <si>
    <t>AS354NS3H.AKOR</t>
  </si>
  <si>
    <t>BP02WS(Y24)</t>
  </si>
  <si>
    <t>AC-35U20FWGH</t>
  </si>
  <si>
    <t>SFH-JS1200</t>
  </si>
  <si>
    <t>CHM-BCHE10Q</t>
  </si>
  <si>
    <t>전기레인지</t>
  </si>
  <si>
    <t>BEI3ANBL.AKOR</t>
  </si>
  <si>
    <t>BEI3ANHL.AKOR</t>
  </si>
  <si>
    <t>BEI3ANPL.AKOR</t>
  </si>
  <si>
    <t>RBI-S3620ABOB</t>
  </si>
  <si>
    <t>NZ63DB503CFT</t>
  </si>
  <si>
    <t>CIR-EP340FAW</t>
  </si>
  <si>
    <t>CIR-EP340FGP</t>
  </si>
  <si>
    <t>CIR-EP340FM</t>
  </si>
  <si>
    <t>CIR-EP340FW</t>
  </si>
  <si>
    <t>DUE5BG.AKOR</t>
  </si>
  <si>
    <t>DUE6BGH.AKOR</t>
  </si>
  <si>
    <t>DUE2BG.AKOR</t>
  </si>
  <si>
    <t>DW60BB837UAP</t>
  </si>
  <si>
    <t>CDW-CS0610TGP</t>
  </si>
  <si>
    <t>CDW-CS0610TGW</t>
  </si>
  <si>
    <t>CRP-JHTR0660FLB</t>
  </si>
  <si>
    <t>CRP-JHTR1060FLB</t>
  </si>
  <si>
    <t>(36L)CP-AHSC100HEB(SELF)</t>
  </si>
  <si>
    <t>(36L)CP-TS100DS(SELF)</t>
  </si>
  <si>
    <t>음식물처리기</t>
  </si>
  <si>
    <t>RC-PRIME300_S</t>
  </si>
  <si>
    <t>RC-PRIME300_W</t>
  </si>
  <si>
    <t>SC-D0208_LB</t>
  </si>
  <si>
    <t>SC-D0208_SW</t>
  </si>
  <si>
    <t>SC-D0403_LB</t>
  </si>
  <si>
    <t>SC-D0403_SW</t>
  </si>
  <si>
    <t>KRECAM220.22.GB</t>
  </si>
  <si>
    <t>FALCON_SV</t>
  </si>
  <si>
    <t>PHANTOMROVO</t>
  </si>
  <si>
    <t>BRAMS-K7G777BA</t>
  </si>
  <si>
    <t>CMC-A210(T)</t>
  </si>
  <si>
    <t>CMC-A430(G)</t>
  </si>
  <si>
    <t>CMC-A550(G)</t>
  </si>
  <si>
    <t>HT-K09D_ONEDAY</t>
  </si>
  <si>
    <t>SM-F741L</t>
  </si>
  <si>
    <t>SM-F741S</t>
  </si>
  <si>
    <t>SM-F956L</t>
  </si>
  <si>
    <t>SM-F956S</t>
  </si>
  <si>
    <t>SM-S921S</t>
  </si>
  <si>
    <t>SM-S926S</t>
  </si>
  <si>
    <t>SM-S928S</t>
  </si>
  <si>
    <t>SM-F741L512</t>
  </si>
  <si>
    <t>SM-F956L512</t>
  </si>
  <si>
    <t>SM-F741K</t>
  </si>
  <si>
    <t>SM-F741K512</t>
  </si>
  <si>
    <t>SM-S711K</t>
  </si>
  <si>
    <t>스마트워치</t>
  </si>
  <si>
    <t>SM-L705NDAAKOO</t>
  </si>
  <si>
    <t>SM-L705NZTAKOO</t>
  </si>
  <si>
    <t>SM-L705NZWAKOO</t>
  </si>
  <si>
    <t>NT950XGK-KM51S(PKG)</t>
  </si>
  <si>
    <t>NT960QGK-KC51G(PKG)</t>
  </si>
  <si>
    <t>NT960QGK-KC51S(PKG)</t>
  </si>
  <si>
    <t>16Z90SP-G.AA50K(PKG)</t>
  </si>
  <si>
    <t>15Z90R-G.AA5MK(PKG)</t>
  </si>
  <si>
    <t>15Z90R-G.AA5NK</t>
  </si>
  <si>
    <t>15Z90R-G.AA5UK</t>
  </si>
  <si>
    <t>A-FA506NC-R7525D</t>
  </si>
  <si>
    <t>XK1-00046(PKG)</t>
  </si>
  <si>
    <t>XKQ-00047(PKG)</t>
  </si>
  <si>
    <t>DM970AGA-LC51G</t>
  </si>
  <si>
    <t>조립PC</t>
  </si>
  <si>
    <t>HMGM_I5_0001(WIN11)</t>
  </si>
  <si>
    <t>HMGM_R5_0006(WIN11)</t>
  </si>
  <si>
    <t>HMOF_R5_0003(WIN11)</t>
  </si>
  <si>
    <t>태블릿PC</t>
  </si>
  <si>
    <t>SM-X610NLGAKOO</t>
  </si>
  <si>
    <t>SM-X610NLIAKOO</t>
  </si>
  <si>
    <t>SM-X610NZAAKOO</t>
  </si>
  <si>
    <t>게임</t>
  </si>
  <si>
    <t>CFI-2018A01</t>
  </si>
  <si>
    <t>CFI-2018B01</t>
  </si>
  <si>
    <t>냉장고</t>
    <phoneticPr fontId="2" type="noConversion"/>
  </si>
  <si>
    <t>모델명</t>
    <phoneticPr fontId="2" type="noConversion"/>
  </si>
  <si>
    <t>에어컨</t>
    <phoneticPr fontId="2" type="noConversion"/>
  </si>
  <si>
    <t>세탁기/건조기</t>
    <phoneticPr fontId="2" type="noConversion"/>
  </si>
  <si>
    <t>의류관리기</t>
    <phoneticPr fontId="2" type="noConversion"/>
  </si>
  <si>
    <t>청소기</t>
    <phoneticPr fontId="2" type="noConversion"/>
  </si>
  <si>
    <t>헤어뷰티</t>
    <phoneticPr fontId="2" type="noConversion"/>
  </si>
  <si>
    <t>공기청정기</t>
    <phoneticPr fontId="2" type="noConversion"/>
  </si>
  <si>
    <t>겨울제품</t>
    <phoneticPr fontId="2" type="noConversion"/>
  </si>
  <si>
    <t>SM-F741NLBAKOD/SKT</t>
  </si>
  <si>
    <t>SM-F741NLGAKOD/SKT</t>
  </si>
  <si>
    <t>SM-F741NZSAKOD/SKT</t>
  </si>
  <si>
    <t>SM-F741NZYAKOD/SKT</t>
  </si>
  <si>
    <t>SM-F741NLBAKOC/SKT</t>
  </si>
  <si>
    <t>SM-F741NLGAKOC/SKT</t>
  </si>
  <si>
    <t>SM-F741NZSAKOC/SKT</t>
  </si>
  <si>
    <t>SM-F741NZYAKOC/SKT</t>
  </si>
  <si>
    <t>SM-F956NDBAKOD/SKT</t>
  </si>
  <si>
    <t>SM-F956NLIAKOD/SKT</t>
  </si>
  <si>
    <t>SM-F956NZSAKOD/SKT</t>
  </si>
  <si>
    <t>SM-F956NDBAKOC/SKT</t>
  </si>
  <si>
    <t>SM-F956NLIAKOC/SKT</t>
  </si>
  <si>
    <t>SM-F956NZSAKOC/SKT</t>
  </si>
  <si>
    <t>SM-S921NZKEKOC/SKT</t>
  </si>
  <si>
    <t>SM-S921NZAEKOC/SKT</t>
  </si>
  <si>
    <t>SM-S921NZVEKOC/SKT</t>
  </si>
  <si>
    <t>SM-S921NZYEKOC/SKT</t>
  </si>
  <si>
    <t>SM-S921NZKEKOD/SKT</t>
  </si>
  <si>
    <t>SM-S921NZAEKOD/SKT</t>
  </si>
  <si>
    <t>SM-S921NZVEKOD/SKT</t>
  </si>
  <si>
    <t>SM-S921NZYEKOD/SKT</t>
  </si>
  <si>
    <t>SM-S926NZKAKOC/SKT</t>
  </si>
  <si>
    <t>SM-S926NZAAKOC/SKT</t>
  </si>
  <si>
    <t>SM-S926NZVAKOC/SKT</t>
  </si>
  <si>
    <t>SM-S926NZYAKOC/SKT</t>
  </si>
  <si>
    <t>SM-S926NZKAKOD/SKT</t>
  </si>
  <si>
    <t>SM-S926NZAAKOD/SKT</t>
  </si>
  <si>
    <t>SM-S926NZVAKOD/SKT</t>
  </si>
  <si>
    <t>SM-S926NZYAKOD/SKT</t>
  </si>
  <si>
    <t>SM-S928NZKEKOC/SKT</t>
  </si>
  <si>
    <t>SM-S928NZTEKOC/SKT</t>
  </si>
  <si>
    <t>SM-S928NZVEKOC/SKT</t>
  </si>
  <si>
    <t>SM-S928NZYEKOC/SKT</t>
  </si>
  <si>
    <t>SM-S928NZKEKOD/SKT</t>
  </si>
  <si>
    <t>SM-S928NZTEKOD/SKT</t>
  </si>
  <si>
    <t>SM-S928NZVEKOD/SKT</t>
  </si>
  <si>
    <t>SM-S928NZYEKOD/SKT</t>
  </si>
  <si>
    <t>SM-F741NLBAKOC/KT</t>
  </si>
  <si>
    <t>SM-F741NLGAKOC/KT</t>
  </si>
  <si>
    <t>SM-F741NZSAKOC/KT</t>
  </si>
  <si>
    <t>SM-F741NZYAKOC/KT</t>
  </si>
  <si>
    <t>SM-F741NLBAKOD/KT</t>
  </si>
  <si>
    <t>SM-F741NLGAKOD/KT</t>
  </si>
  <si>
    <t>SM-F741NZSAKOD/KT</t>
  </si>
  <si>
    <t>SM-F741NZYAKOD/KT</t>
  </si>
  <si>
    <t>SM-F741NLBEKOC/KT</t>
  </si>
  <si>
    <t>SM-F741NLGEKOC/KT</t>
  </si>
  <si>
    <t>SM-F741NZSEKOC/KT</t>
  </si>
  <si>
    <t>SM-F741NZYEKOC/KT</t>
  </si>
  <si>
    <t>SM-F741NLBEKOD/KT</t>
  </si>
  <si>
    <t>SM-F741NLGEKOD/KT</t>
  </si>
  <si>
    <t>SM-F741NZSEKOD/KT</t>
  </si>
  <si>
    <t>SM-F741NZYEKOD/KT</t>
  </si>
  <si>
    <t>SM-S711NZPWKOC/KT</t>
  </si>
  <si>
    <t>SM-S711NLGWKOD/KT</t>
  </si>
  <si>
    <t>SM-S711NZAWKOD/KT</t>
  </si>
  <si>
    <t>SM-S711NZPWKOD/KT</t>
  </si>
  <si>
    <t>SM-S711NZWWKOD/KT</t>
  </si>
  <si>
    <t>SM-S711NZAWKOC/KT</t>
  </si>
  <si>
    <t>SM-S711NLGWKOC/KT</t>
  </si>
  <si>
    <t>SM-S711NZWWKOC/KT</t>
  </si>
  <si>
    <t>SM-F741NLBAKOC/LGU</t>
  </si>
  <si>
    <t>SM-F741NLGAKOC/LGU</t>
  </si>
  <si>
    <t>SM-F741NZSAKOC/LGU</t>
  </si>
  <si>
    <t>SM-F741NLBAKOD/LGU</t>
  </si>
  <si>
    <t>SM-F741NLGAKOD/LGU</t>
  </si>
  <si>
    <t>SM-F741NZSAKOD/LGU</t>
  </si>
  <si>
    <t>SM-F741NZYAKOD/LGU</t>
  </si>
  <si>
    <t>SM-F741NZYAKOC/LGU</t>
  </si>
  <si>
    <t>SM-F956NDBAKOD/LGU</t>
  </si>
  <si>
    <t>SM-F956NLIAKOD/LGU</t>
  </si>
  <si>
    <t>SM-F956NZSAKOD/LGU</t>
  </si>
  <si>
    <t>SM-F956NDBAKOC/LGU</t>
  </si>
  <si>
    <t>SM-F956NLIAKOC/LGU</t>
  </si>
  <si>
    <t>SM-F956NZSAKOC/LGU</t>
  </si>
  <si>
    <t>SM-F741NLBEKOD/LGU</t>
  </si>
  <si>
    <t>SM-F741NLGEKOD/LGU</t>
  </si>
  <si>
    <t>SM-F741NZSEKOD/LGU</t>
  </si>
  <si>
    <t>SM-F741NZYEKOD/LGU</t>
  </si>
  <si>
    <t>SM-F741NLBEKOC/LGU</t>
  </si>
  <si>
    <t>SM-F741NLGEKOC/LGU</t>
  </si>
  <si>
    <t>SM-F741NZSEKOC/LGU</t>
  </si>
  <si>
    <t>SM-F741NZYEKOC/LGU</t>
  </si>
  <si>
    <t>SM-F956NDBEKOD/LGU</t>
  </si>
  <si>
    <t>SM-F956NLIEKOD/LGU</t>
  </si>
  <si>
    <t>SM-F956NZSEKOD/LGU</t>
  </si>
  <si>
    <t>SM-F956NDBEKOC/LGU</t>
  </si>
  <si>
    <t>SM-F956NLIEKOC/LGU</t>
  </si>
  <si>
    <t>SM-F956NZSEKOC/LGU</t>
  </si>
  <si>
    <t>정수기</t>
    <phoneticPr fontId="2" type="noConversion"/>
  </si>
  <si>
    <t>복합오븐</t>
    <phoneticPr fontId="2" type="noConversion"/>
  </si>
  <si>
    <t>안마의자</t>
    <phoneticPr fontId="2" type="noConversion"/>
  </si>
  <si>
    <t>스마트워치</t>
    <phoneticPr fontId="2" type="noConversion"/>
  </si>
  <si>
    <t>노트북</t>
    <phoneticPr fontId="2" type="noConversion"/>
  </si>
  <si>
    <t>데스크탑</t>
    <phoneticPr fontId="2" type="noConversion"/>
  </si>
  <si>
    <t>조립PC</t>
    <phoneticPr fontId="2" type="noConversion"/>
  </si>
  <si>
    <t>태블릿PC</t>
    <phoneticPr fontId="2" type="noConversion"/>
  </si>
  <si>
    <t>월간 즉시할인</t>
    <phoneticPr fontId="2" type="noConversion"/>
  </si>
  <si>
    <t>게릴라 즉시할인</t>
    <phoneticPr fontId="2" type="noConversion"/>
  </si>
  <si>
    <t>1인10회</t>
  </si>
  <si>
    <t>1인10회</t>
    <phoneticPr fontId="2" type="noConversion"/>
  </si>
  <si>
    <t>LG</t>
  </si>
  <si>
    <t xml:space="preserve">■ 26년 8월 월간 모델별 금융판촉 리스트 ■ </t>
    <phoneticPr fontId="2" type="noConversion"/>
  </si>
  <si>
    <t>그릴</t>
  </si>
  <si>
    <t>테팔</t>
  </si>
  <si>
    <t>RA25EJF.AKOR</t>
  </si>
  <si>
    <t>GC-5718K0</t>
  </si>
  <si>
    <t>RA25MJF.AKOR</t>
  </si>
  <si>
    <t>RA25YJF.AKOR</t>
  </si>
  <si>
    <t>8/1~8/31</t>
  </si>
  <si>
    <t>의류케어</t>
  </si>
  <si>
    <t>의류케어</t>
    <phoneticPr fontId="2" type="noConversion"/>
  </si>
  <si>
    <t>에어컨</t>
  </si>
  <si>
    <t>삼성</t>
  </si>
  <si>
    <t>AJ30CSX4P30SSY</t>
  </si>
  <si>
    <t>AJ30BSX4P30SSY</t>
  </si>
  <si>
    <t>한정수량 소진시 종료</t>
    <phoneticPr fontId="2" type="noConversion"/>
  </si>
  <si>
    <t>8/1~8/31</t>
    <phoneticPr fontId="2" type="noConversion"/>
  </si>
  <si>
    <t>전동칫솔</t>
  </si>
  <si>
    <t>칫솔모</t>
  </si>
  <si>
    <t>오클린</t>
  </si>
  <si>
    <t>V8100_BK</t>
  </si>
  <si>
    <t>UW02_BK</t>
  </si>
  <si>
    <t>V8100_GR</t>
  </si>
  <si>
    <t>UW01_GR</t>
  </si>
  <si>
    <t>Y2076_SL</t>
  </si>
  <si>
    <t>P1C9_SL</t>
  </si>
  <si>
    <t>Y2076_PU</t>
  </si>
  <si>
    <t>P1C13_PU</t>
  </si>
  <si>
    <t>Y2076_GD</t>
  </si>
  <si>
    <t>P1C8_GD</t>
  </si>
  <si>
    <t>Y2076_BL</t>
  </si>
  <si>
    <t>P1C5_BK</t>
  </si>
  <si>
    <t>브라운</t>
  </si>
  <si>
    <t>면도기</t>
  </si>
  <si>
    <t>코털정리기</t>
  </si>
  <si>
    <t>필립스</t>
  </si>
  <si>
    <t>X-9001</t>
  </si>
  <si>
    <t>NT-3650</t>
  </si>
  <si>
    <t>S-5898</t>
  </si>
  <si>
    <t>구강세정기</t>
  </si>
  <si>
    <t>세정기노즐</t>
  </si>
  <si>
    <t>HX-3822</t>
  </si>
  <si>
    <t>HX-3042</t>
  </si>
  <si>
    <t>HD-3170</t>
  </si>
  <si>
    <t>세정스테이션</t>
  </si>
  <si>
    <t>62-B1000S</t>
  </si>
  <si>
    <t>0-CC</t>
  </si>
  <si>
    <t>매트리스청소</t>
  </si>
  <si>
    <t>-</t>
  </si>
  <si>
    <t>-</t>
    <phoneticPr fontId="2" type="noConversion"/>
  </si>
  <si>
    <t>CLEAN-MAT(ALL-2)</t>
  </si>
  <si>
    <t>CLEAN-MAT(ALL-3)</t>
  </si>
  <si>
    <t>CLEAN-MAT(ALL-4)</t>
  </si>
  <si>
    <t>CLEAN-MAT(ALL-5)</t>
  </si>
  <si>
    <t>1인1회</t>
  </si>
  <si>
    <t>1인1회</t>
    <phoneticPr fontId="2" type="noConversion"/>
  </si>
  <si>
    <t>마우스</t>
  </si>
  <si>
    <t>마우스패드</t>
  </si>
  <si>
    <t>로지텍</t>
  </si>
  <si>
    <t>LOGITECH_MX_MASTER4_BK</t>
  </si>
  <si>
    <t>LOGITECH_DESKMAT_GR</t>
  </si>
  <si>
    <t>LOGITECH_MX_MASTER4_WH</t>
  </si>
  <si>
    <t>한정수량 소진시 종료</t>
  </si>
  <si>
    <t>미닉스</t>
  </si>
  <si>
    <t>MNKR-100G</t>
  </si>
  <si>
    <t>쿠쿠</t>
  </si>
  <si>
    <t>(36L)CP-AHS101HEW(SELF)</t>
  </si>
  <si>
    <t>바디프랜드</t>
  </si>
  <si>
    <t>BODYFRIEND_733(T)</t>
  </si>
  <si>
    <t>EDEN_ROBOT(T)</t>
  </si>
  <si>
    <t>QUANTUM_AI(T)</t>
  </si>
  <si>
    <t>양품한정적용</t>
  </si>
  <si>
    <t>양품한정적용</t>
    <phoneticPr fontId="2" type="noConversion"/>
  </si>
  <si>
    <t>소형안마기기</t>
  </si>
  <si>
    <t>풀리오</t>
  </si>
  <si>
    <t>PLO_N003</t>
  </si>
  <si>
    <t>PLO_P006DP</t>
  </si>
  <si>
    <t>ASUS</t>
  </si>
  <si>
    <t>A-FA607NUQ-R7735W</t>
  </si>
  <si>
    <t>LOGITECH_G102_LIGHTSYNC_BK</t>
  </si>
  <si>
    <t>냉장고</t>
  </si>
  <si>
    <t>RM80F91K1X</t>
  </si>
  <si>
    <t>RM80F91L1XJ</t>
  </si>
  <si>
    <t>RM70F91R1A</t>
  </si>
  <si>
    <t>8/1~8/6</t>
  </si>
  <si>
    <t>세탁기</t>
  </si>
  <si>
    <t>부가서비스</t>
  </si>
  <si>
    <t>LG전자</t>
  </si>
  <si>
    <t>하이마트</t>
  </si>
  <si>
    <t xml:space="preserve">T21OZ0.AKOR </t>
  </si>
  <si>
    <t>CARE-CLEAN-WM(1/1)-MD</t>
  </si>
  <si>
    <t>T18PZ7.AKOR</t>
  </si>
  <si>
    <t>FG24GN.AKOR2</t>
  </si>
  <si>
    <t>CARE-CLEAN-WM(DRUM)(1/1)-MD</t>
  </si>
  <si>
    <t>FX25GF.AKOR</t>
  </si>
  <si>
    <t>에코퓨어코리아</t>
  </si>
  <si>
    <t>EC00001</t>
  </si>
  <si>
    <t>DF24CB9900MR</t>
  </si>
  <si>
    <t>의류관리기</t>
  </si>
  <si>
    <t>필터</t>
  </si>
  <si>
    <t>필터</t>
    <phoneticPr fontId="2" type="noConversion"/>
  </si>
  <si>
    <t>하츠</t>
  </si>
  <si>
    <t>CD-D950DU</t>
  </si>
  <si>
    <t>CWM-ETFF1610B</t>
  </si>
  <si>
    <t>CWM-ATFF1210B</t>
  </si>
  <si>
    <t>T21OZ0.AKOR</t>
  </si>
  <si>
    <t>T22PZ9.AKOR</t>
  </si>
  <si>
    <t>MF200W120B_WW_BASIC</t>
  </si>
  <si>
    <t>MA512W190D_WK-KR</t>
  </si>
  <si>
    <t>WA21A8376KV</t>
  </si>
  <si>
    <t>WA23A8377KV</t>
  </si>
  <si>
    <t>피노</t>
  </si>
  <si>
    <t>FED-4PHM</t>
  </si>
  <si>
    <t>건조대</t>
  </si>
  <si>
    <t>건조대</t>
    <phoneticPr fontId="2" type="noConversion"/>
  </si>
  <si>
    <t>세탁기</t>
    <phoneticPr fontId="2" type="noConversion"/>
  </si>
  <si>
    <t>OLED83C5FNA.AKRG</t>
  </si>
  <si>
    <t>27LX6TKGA.AKR</t>
  </si>
  <si>
    <t>OLED77C5FNA.AKRG</t>
  </si>
  <si>
    <t>27ART10DSPL.AKR</t>
  </si>
  <si>
    <t>27ART10DQPL.AKR</t>
  </si>
  <si>
    <t>27ART10CMPL.AKR</t>
  </si>
  <si>
    <t>27LX5QKNA.AKR</t>
  </si>
  <si>
    <t>85QNED92AGA.AKRQ</t>
  </si>
  <si>
    <t>OLED77B5HNA.AKRG</t>
  </si>
  <si>
    <t>OLED83C5QNA.AKRG</t>
  </si>
  <si>
    <t>85QNED93AGA.AKRQ</t>
  </si>
  <si>
    <t>OLED83C6FNA.AKRG</t>
  </si>
  <si>
    <t>OLED77C6FNA.AKRG</t>
  </si>
  <si>
    <t>32LX6BKGA.AKR</t>
  </si>
  <si>
    <t>85QNED91BKA.AKRQ</t>
  </si>
  <si>
    <t>86MRGB85BMC.AKRG</t>
  </si>
  <si>
    <t>사운드바</t>
  </si>
  <si>
    <t>TCL</t>
  </si>
  <si>
    <t>98C8K</t>
  </si>
  <si>
    <t>S55H</t>
  </si>
  <si>
    <t>85C8K</t>
  </si>
  <si>
    <t>75C8K</t>
  </si>
  <si>
    <t>98C7K</t>
  </si>
  <si>
    <t>85C7K</t>
  </si>
  <si>
    <t>75C7K</t>
  </si>
  <si>
    <t>98C8L</t>
  </si>
  <si>
    <t>85C8L</t>
  </si>
  <si>
    <t>75C8L</t>
  </si>
  <si>
    <t>98C7L</t>
  </si>
  <si>
    <t>85C7L</t>
  </si>
  <si>
    <t>75C7L</t>
  </si>
  <si>
    <t>가스레인지</t>
  </si>
  <si>
    <t>쿠쿠전자</t>
  </si>
  <si>
    <t>CGC-BFF201SDS</t>
  </si>
  <si>
    <t>CDW-BSGL14BWE</t>
  </si>
  <si>
    <t>CDW-BSGL14BGIE</t>
  </si>
  <si>
    <t>레인지후드</t>
  </si>
  <si>
    <t>CRH-ACE900BSC</t>
  </si>
  <si>
    <t>CRH-ACE900BSWC</t>
  </si>
  <si>
    <t>CRH-ACE900ASC</t>
  </si>
  <si>
    <t>CRH-ACE900ASWC</t>
  </si>
  <si>
    <t>CGC-CFF301SDS</t>
  </si>
  <si>
    <t>CIR-GP301FTI</t>
  </si>
  <si>
    <t>CIR-GP301FAW</t>
  </si>
  <si>
    <t>CIR-GP301FAP</t>
  </si>
  <si>
    <t>CIR-GP301FHS</t>
  </si>
  <si>
    <t>CIR-HP302FB</t>
  </si>
  <si>
    <t>CIR-GSFF302FW</t>
  </si>
  <si>
    <t>CIR-HS302FB</t>
  </si>
  <si>
    <t>CIR-KS302FB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</si>
</sst>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(* #,##0_);_(* \(#,##0\);_(* &quot;-&quot;_);_(@_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바른고딕OTF"/>
      <family val="1"/>
      <charset val="129"/>
    </font>
    <font>
      <sz val="11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auto="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right" vertical="center"/>
    </xf>
    <xf numFmtId="0" fontId="0" fillId="0" borderId="9" xfId="0" applyFill="1" applyBorder="1" applyAlignment="1">
      <alignment horizontal="center" vertical="center"/>
    </xf>
    <xf numFmtId="41" fontId="0" fillId="3" borderId="10" xfId="1" applyFont="1" applyFill="1" applyBorder="1" applyAlignment="1">
      <alignment horizontal="center" vertical="center"/>
    </xf>
    <xf numFmtId="41" fontId="0" fillId="3" borderId="11" xfId="1" applyFont="1" applyFill="1" applyBorder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3" fontId="0" fillId="5" borderId="0" xfId="0" applyNumberFormat="1" applyFill="1" applyAlignment="1">
      <alignment horizontal="right" vertical="center"/>
    </xf>
    <xf numFmtId="3" fontId="0" fillId="4" borderId="0" xfId="0" applyNumberFormat="1" applyFill="1" applyAlignment="1">
      <alignment horizontal="right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3" fontId="0" fillId="4" borderId="15" xfId="1" applyNumberFormat="1" applyFont="1" applyFill="1" applyBorder="1" applyAlignment="1">
      <alignment horizontal="right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3" fontId="0" fillId="4" borderId="18" xfId="1" applyNumberFormat="1" applyFont="1" applyFill="1" applyBorder="1" applyAlignment="1">
      <alignment horizontal="right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176" fontId="0" fillId="0" borderId="17" xfId="0" applyNumberForma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176" fontId="0" fillId="0" borderId="20" xfId="0" applyNumberFormat="1" applyFill="1" applyBorder="1" applyAlignment="1">
      <alignment horizontal="center" vertical="center"/>
    </xf>
    <xf numFmtId="3" fontId="0" fillId="5" borderId="15" xfId="1" applyNumberFormat="1" applyFont="1" applyFill="1" applyBorder="1" applyAlignment="1">
      <alignment horizontal="right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3" fontId="0" fillId="5" borderId="18" xfId="1" applyNumberFormat="1" applyFont="1" applyFill="1" applyBorder="1" applyAlignment="1">
      <alignment horizontal="right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3" fontId="0" fillId="2" borderId="12" xfId="1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41" fontId="0" fillId="0" borderId="15" xfId="1" applyFont="1" applyFill="1" applyBorder="1" applyAlignment="1">
      <alignment horizontal="right" vertical="center"/>
    </xf>
    <xf numFmtId="41" fontId="0" fillId="0" borderId="18" xfId="1" applyFont="1" applyFill="1" applyBorder="1" applyAlignment="1">
      <alignment horizontal="right"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right" vertical="center"/>
    </xf>
    <xf numFmtId="41" fontId="0" fillId="2" borderId="12" xfId="1" applyFont="1" applyFill="1" applyBorder="1" applyAlignment="1">
      <alignment horizontal="center" vertical="center"/>
    </xf>
    <xf numFmtId="41" fontId="0" fillId="5" borderId="15" xfId="1" applyFont="1" applyFill="1" applyBorder="1" applyAlignment="1">
      <alignment horizontal="right" vertical="center"/>
    </xf>
    <xf numFmtId="41" fontId="0" fillId="5" borderId="18" xfId="1" applyFont="1" applyFill="1" applyBorder="1" applyAlignment="1">
      <alignment horizontal="right" vertical="center"/>
    </xf>
    <xf numFmtId="41" fontId="0" fillId="5" borderId="0" xfId="1" applyFont="1" applyFill="1" applyAlignment="1">
      <alignment horizontal="right" vertical="center"/>
    </xf>
    <xf numFmtId="41" fontId="3" fillId="0" borderId="10" xfId="1" applyFont="1" applyFill="1" applyBorder="1" applyAlignment="1">
      <alignment horizontal="center" vertical="center"/>
    </xf>
    <xf numFmtId="41" fontId="3" fillId="0" borderId="11" xfId="1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31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41" fontId="0" fillId="2" borderId="8" xfId="1" applyFont="1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0" fontId="3" fillId="0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41" fontId="0" fillId="3" borderId="34" xfId="1" applyFont="1" applyFill="1" applyBorder="1" applyAlignment="1">
      <alignment horizontal="center" vertical="center"/>
    </xf>
    <xf numFmtId="41" fontId="0" fillId="0" borderId="35" xfId="1" applyFont="1" applyFill="1" applyBorder="1" applyAlignment="1">
      <alignment horizontal="right" vertical="center"/>
    </xf>
    <xf numFmtId="0" fontId="0" fillId="0" borderId="36" xfId="0" applyFill="1" applyBorder="1" applyAlignment="1">
      <alignment horizontal="center" vertical="center"/>
    </xf>
    <xf numFmtId="176" fontId="0" fillId="0" borderId="37" xfId="0" applyNumberFormat="1" applyFill="1" applyBorder="1" applyAlignment="1">
      <alignment horizontal="center" vertical="center"/>
    </xf>
    <xf numFmtId="3" fontId="0" fillId="4" borderId="35" xfId="1" applyNumberFormat="1" applyFont="1" applyFill="1" applyBorder="1" applyAlignment="1">
      <alignment horizontal="right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41" fontId="0" fillId="5" borderId="35" xfId="1" applyFont="1" applyFill="1" applyBorder="1" applyAlignment="1">
      <alignment horizontal="right" vertical="center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3" fontId="0" fillId="5" borderId="35" xfId="1" applyNumberFormat="1" applyFont="1" applyFill="1" applyBorder="1" applyAlignment="1">
      <alignment horizontal="right" vertical="center"/>
    </xf>
    <xf numFmtId="41" fontId="3" fillId="0" borderId="34" xfId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/>
    </xf>
    <xf numFmtId="9" fontId="0" fillId="0" borderId="0" xfId="4" applyFont="1">
      <alignment vertical="center"/>
    </xf>
    <xf numFmtId="0" fontId="0" fillId="0" borderId="40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41" fontId="0" fillId="3" borderId="43" xfId="1" applyFont="1" applyFill="1" applyBorder="1" applyAlignment="1">
      <alignment horizontal="center" vertical="center"/>
    </xf>
    <xf numFmtId="41" fontId="0" fillId="0" borderId="44" xfId="1" applyFont="1" applyFill="1" applyBorder="1" applyAlignment="1">
      <alignment horizontal="right" vertical="center"/>
    </xf>
    <xf numFmtId="0" fontId="0" fillId="0" borderId="42" xfId="0" applyFill="1" applyBorder="1" applyAlignment="1">
      <alignment horizontal="center" vertical="center"/>
    </xf>
    <xf numFmtId="176" fontId="0" fillId="0" borderId="45" xfId="0" applyNumberFormat="1" applyFill="1" applyBorder="1" applyAlignment="1">
      <alignment horizontal="center" vertical="center"/>
    </xf>
    <xf numFmtId="3" fontId="0" fillId="4" borderId="44" xfId="1" applyNumberFormat="1" applyFont="1" applyFill="1" applyBorder="1" applyAlignment="1">
      <alignment horizontal="right" vertical="center"/>
    </xf>
    <xf numFmtId="0" fontId="3" fillId="4" borderId="42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41" fontId="0" fillId="5" borderId="44" xfId="1" applyFont="1" applyFill="1" applyBorder="1" applyAlignment="1">
      <alignment horizontal="right" vertical="center"/>
    </xf>
    <xf numFmtId="0" fontId="0" fillId="5" borderId="42" xfId="0" applyFill="1" applyBorder="1" applyAlignment="1">
      <alignment horizontal="center" vertical="center"/>
    </xf>
    <xf numFmtId="0" fontId="0" fillId="5" borderId="45" xfId="0" applyFill="1" applyBorder="1" applyAlignment="1">
      <alignment horizontal="center" vertical="center"/>
    </xf>
    <xf numFmtId="3" fontId="0" fillId="5" borderId="44" xfId="1" applyNumberFormat="1" applyFont="1" applyFill="1" applyBorder="1" applyAlignment="1">
      <alignment horizontal="right" vertical="center"/>
    </xf>
    <xf numFmtId="41" fontId="3" fillId="0" borderId="43" xfId="1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3" fillId="0" borderId="48" xfId="0" applyFont="1" applyFill="1" applyBorder="1" applyAlignment="1">
      <alignment horizontal="center" vertical="center"/>
    </xf>
    <xf numFmtId="0" fontId="4" fillId="0" borderId="48" xfId="0" applyFont="1" applyFill="1" applyBorder="1" applyAlignment="1">
      <alignment horizontal="center" vertical="center"/>
    </xf>
    <xf numFmtId="41" fontId="0" fillId="3" borderId="48" xfId="1" applyFont="1" applyFill="1" applyBorder="1" applyAlignment="1">
      <alignment horizontal="center" vertical="center"/>
    </xf>
    <xf numFmtId="41" fontId="0" fillId="0" borderId="49" xfId="1" applyFont="1" applyFill="1" applyBorder="1" applyAlignment="1">
      <alignment horizontal="right" vertical="center"/>
    </xf>
    <xf numFmtId="0" fontId="0" fillId="0" borderId="50" xfId="0" applyFill="1" applyBorder="1" applyAlignment="1">
      <alignment horizontal="center" vertical="center"/>
    </xf>
    <xf numFmtId="176" fontId="0" fillId="0" borderId="51" xfId="0" applyNumberFormat="1" applyFill="1" applyBorder="1" applyAlignment="1">
      <alignment horizontal="center" vertical="center"/>
    </xf>
    <xf numFmtId="3" fontId="0" fillId="4" borderId="49" xfId="1" applyNumberFormat="1" applyFont="1" applyFill="1" applyBorder="1" applyAlignment="1">
      <alignment horizontal="right" vertical="center"/>
    </xf>
    <xf numFmtId="0" fontId="3" fillId="4" borderId="50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41" fontId="0" fillId="5" borderId="49" xfId="1" applyFont="1" applyFill="1" applyBorder="1" applyAlignment="1">
      <alignment horizontal="right" vertical="center"/>
    </xf>
    <xf numFmtId="0" fontId="0" fillId="5" borderId="50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3" fontId="0" fillId="5" borderId="49" xfId="1" applyNumberFormat="1" applyFont="1" applyFill="1" applyBorder="1" applyAlignment="1">
      <alignment horizontal="right" vertical="center"/>
    </xf>
    <xf numFmtId="41" fontId="3" fillId="0" borderId="48" xfId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10" fillId="2" borderId="58" xfId="0" applyFont="1" applyFill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3" fontId="10" fillId="0" borderId="0" xfId="0" applyNumberFormat="1" applyFont="1" applyAlignment="1">
      <alignment horizontal="right" vertical="center"/>
    </xf>
    <xf numFmtId="3" fontId="10" fillId="0" borderId="61" xfId="0" applyNumberFormat="1" applyFont="1" applyBorder="1" applyAlignment="1">
      <alignment horizontal="right" vertical="center"/>
    </xf>
    <xf numFmtId="3" fontId="10" fillId="0" borderId="55" xfId="0" applyNumberFormat="1" applyFont="1" applyBorder="1" applyAlignment="1">
      <alignment horizontal="right" vertical="center"/>
    </xf>
    <xf numFmtId="3" fontId="10" fillId="0" borderId="58" xfId="0" applyNumberFormat="1" applyFont="1" applyBorder="1" applyAlignment="1">
      <alignment horizontal="right" vertical="center"/>
    </xf>
    <xf numFmtId="3" fontId="10" fillId="0" borderId="62" xfId="0" applyNumberFormat="1" applyFont="1" applyBorder="1" applyAlignment="1">
      <alignment horizontal="right" vertical="center"/>
    </xf>
    <xf numFmtId="3" fontId="10" fillId="0" borderId="56" xfId="0" applyNumberFormat="1" applyFont="1" applyBorder="1" applyAlignment="1">
      <alignment horizontal="right" vertical="center"/>
    </xf>
    <xf numFmtId="3" fontId="10" fillId="0" borderId="59" xfId="0" applyNumberFormat="1" applyFont="1" applyBorder="1" applyAlignment="1">
      <alignment horizontal="right" vertical="center"/>
    </xf>
    <xf numFmtId="3" fontId="10" fillId="2" borderId="58" xfId="0" applyNumberFormat="1" applyFont="1" applyFill="1" applyBorder="1" applyAlignment="1">
      <alignment horizontal="center" vertical="center"/>
    </xf>
    <xf numFmtId="3" fontId="10" fillId="2" borderId="59" xfId="0" applyNumberFormat="1" applyFon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41" fontId="0" fillId="2" borderId="7" xfId="1" applyFont="1" applyFill="1" applyBorder="1" applyAlignment="1">
      <alignment horizontal="center" vertical="center"/>
    </xf>
    <xf numFmtId="0" fontId="9" fillId="5" borderId="45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2" borderId="1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0" xfId="0" applyFont="1" applyFill="1">
      <alignment vertical="center"/>
    </xf>
    <xf numFmtId="0" fontId="0" fillId="2" borderId="32" xfId="0" applyFill="1" applyBorder="1" applyAlignment="1">
      <alignment horizontal="center" vertical="center"/>
    </xf>
    <xf numFmtId="0" fontId="0" fillId="0" borderId="64" xfId="0" applyFill="1" applyBorder="1" applyAlignment="1">
      <alignment horizontal="center" vertical="center"/>
    </xf>
    <xf numFmtId="0" fontId="3" fillId="0" borderId="48" xfId="0" quotePrefix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1" fontId="0" fillId="2" borderId="2" xfId="1" applyFont="1" applyFill="1" applyBorder="1" applyAlignment="1">
      <alignment horizontal="center" vertical="center"/>
    </xf>
    <xf numFmtId="41" fontId="0" fillId="2" borderId="4" xfId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10" fillId="2" borderId="52" xfId="0" applyFont="1" applyFill="1" applyBorder="1" applyAlignment="1">
      <alignment horizontal="center" vertical="center"/>
    </xf>
    <xf numFmtId="0" fontId="10" fillId="2" borderId="63" xfId="0" applyFont="1" applyFill="1" applyBorder="1" applyAlignment="1">
      <alignment horizontal="center" vertical="center"/>
    </xf>
  </cellXfs>
  <cellStyles count="7">
    <cellStyle name="백분율" xfId="4" builtinId="5"/>
    <cellStyle name="쉼표 [0]" xfId="1" builtinId="6"/>
    <cellStyle name="쉼표 [0] 3" xfId="6" xr:uid="{A01BADBF-CAE5-4324-AFBB-DEFA413BF3B2}"/>
    <cellStyle name="표준" xfId="0" builtinId="0"/>
    <cellStyle name="표준 135" xfId="3" xr:uid="{00000000-0005-0000-0000-000003000000}"/>
    <cellStyle name="표준 2" xfId="2" xr:uid="{00000000-0005-0000-0000-000004000000}"/>
    <cellStyle name="표준 3" xfId="5" xr:uid="{EEB8F9B9-82CB-4F85-B6C2-D05AE75D32A5}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V125"/>
  <sheetViews>
    <sheetView showGridLines="0" tabSelected="1" view="pageBreakPreview" zoomScale="70" zoomScaleNormal="80" zoomScaleSheetLayoutView="70" workbookViewId="0">
      <pane xSplit="2" ySplit="5" topLeftCell="C6" activePane="bottomRight" state="frozen"/>
      <selection activeCell="B3" sqref="B3"/>
      <selection pane="topRight" activeCell="B3" sqref="B3"/>
      <selection pane="bottomLeft" activeCell="B3" sqref="B3"/>
      <selection pane="bottomRight" activeCell="V20" sqref="V20"/>
    </sheetView>
  </sheetViews>
  <sheetFormatPr defaultRowHeight="17.399999999999999" x14ac:dyDescent="0.4"/>
  <cols>
    <col min="1" max="1" width="1.8984375" customWidth="1"/>
    <col min="3" max="3" width="15.5" bestFit="1" customWidth="1"/>
    <col min="4" max="4" width="15.5" customWidth="1"/>
    <col min="5" max="5" width="34.19921875" customWidth="1"/>
    <col min="6" max="6" width="12.3984375" bestFit="1" customWidth="1"/>
    <col min="7" max="7" width="10.3984375" style="7" customWidth="1"/>
    <col min="8" max="8" width="9.09765625" customWidth="1"/>
    <col min="9" max="9" width="9" customWidth="1"/>
    <col min="10" max="10" width="10.3984375" style="9" customWidth="1"/>
    <col min="11" max="11" width="13.5" style="1" customWidth="1"/>
    <col min="12" max="12" width="34.19921875" style="1" customWidth="1"/>
    <col min="13" max="13" width="10.3984375" style="9" customWidth="1"/>
    <col min="14" max="14" width="11.8984375" style="1" customWidth="1"/>
    <col min="15" max="15" width="28.69921875" style="1" customWidth="1"/>
    <col min="16" max="16" width="11.5" style="37" customWidth="1"/>
    <col min="17" max="17" width="10.59765625" style="2" bestFit="1" customWidth="1"/>
    <col min="18" max="18" width="9.19921875" style="2" bestFit="1" customWidth="1"/>
    <col min="19" max="19" width="10.09765625" style="8" customWidth="1"/>
    <col min="20" max="20" width="11.5" style="2" bestFit="1" customWidth="1"/>
    <col min="21" max="21" width="9.19921875" style="138" bestFit="1" customWidth="1"/>
    <col min="22" max="22" width="74.09765625" customWidth="1"/>
  </cols>
  <sheetData>
    <row r="1" spans="2:22" x14ac:dyDescent="0.4">
      <c r="G1"/>
      <c r="J1"/>
      <c r="K1"/>
      <c r="L1"/>
      <c r="M1"/>
      <c r="N1"/>
      <c r="O1"/>
      <c r="P1" s="32"/>
      <c r="Q1"/>
      <c r="R1"/>
      <c r="S1"/>
      <c r="T1"/>
      <c r="U1" s="134"/>
    </row>
    <row r="2" spans="2:22" ht="25.2" x14ac:dyDescent="0.4">
      <c r="B2" s="142" t="s">
        <v>321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</row>
    <row r="3" spans="2:22" ht="18" thickBot="1" x14ac:dyDescent="0.45">
      <c r="B3" t="s">
        <v>17</v>
      </c>
      <c r="J3" s="7"/>
      <c r="K3"/>
      <c r="L3" s="75"/>
      <c r="M3" s="7"/>
      <c r="N3"/>
      <c r="O3" s="29" t="s">
        <v>11</v>
      </c>
      <c r="P3" s="33"/>
      <c r="Q3"/>
      <c r="R3"/>
      <c r="S3" s="7"/>
      <c r="T3"/>
      <c r="U3" s="134"/>
      <c r="V3" s="3" t="s">
        <v>10</v>
      </c>
    </row>
    <row r="4" spans="2:22" ht="21.75" customHeight="1" x14ac:dyDescent="0.4">
      <c r="B4" s="130" t="s">
        <v>0</v>
      </c>
      <c r="C4" s="131" t="s">
        <v>1</v>
      </c>
      <c r="D4" s="131" t="s">
        <v>9</v>
      </c>
      <c r="E4" s="131" t="s">
        <v>15</v>
      </c>
      <c r="F4" s="132" t="s">
        <v>2</v>
      </c>
      <c r="G4" s="143" t="s">
        <v>3</v>
      </c>
      <c r="H4" s="144"/>
      <c r="I4" s="145"/>
      <c r="J4" s="143" t="s">
        <v>4</v>
      </c>
      <c r="K4" s="144"/>
      <c r="L4" s="145"/>
      <c r="M4" s="143" t="s">
        <v>18</v>
      </c>
      <c r="N4" s="144"/>
      <c r="O4" s="145"/>
      <c r="P4" s="143" t="s">
        <v>316</v>
      </c>
      <c r="Q4" s="144"/>
      <c r="R4" s="145"/>
      <c r="S4" s="143" t="s">
        <v>317</v>
      </c>
      <c r="T4" s="144"/>
      <c r="U4" s="145"/>
      <c r="V4" s="139" t="s">
        <v>5</v>
      </c>
    </row>
    <row r="5" spans="2:22" s="50" customFormat="1" ht="18" thickBot="1" x14ac:dyDescent="0.45">
      <c r="B5" s="51"/>
      <c r="C5" s="52"/>
      <c r="D5" s="52"/>
      <c r="E5" s="52"/>
      <c r="F5" s="53"/>
      <c r="G5" s="28" t="s">
        <v>6</v>
      </c>
      <c r="H5" s="10" t="s">
        <v>7</v>
      </c>
      <c r="I5" s="11" t="s">
        <v>8</v>
      </c>
      <c r="J5" s="28" t="s">
        <v>6</v>
      </c>
      <c r="K5" s="10" t="s">
        <v>7</v>
      </c>
      <c r="L5" s="11" t="s">
        <v>8</v>
      </c>
      <c r="M5" s="28" t="s">
        <v>6</v>
      </c>
      <c r="N5" s="10" t="s">
        <v>7</v>
      </c>
      <c r="O5" s="11" t="s">
        <v>8</v>
      </c>
      <c r="P5" s="34" t="s">
        <v>6</v>
      </c>
      <c r="Q5" s="10" t="s">
        <v>7</v>
      </c>
      <c r="R5" s="11" t="s">
        <v>8</v>
      </c>
      <c r="S5" s="28" t="s">
        <v>6</v>
      </c>
      <c r="T5" s="10" t="s">
        <v>7</v>
      </c>
      <c r="U5" s="135" t="s">
        <v>8</v>
      </c>
      <c r="V5" s="54"/>
    </row>
    <row r="6" spans="2:22" ht="18" thickTop="1" x14ac:dyDescent="0.4">
      <c r="B6" s="140">
        <f t="shared" ref="B6:B45" si="0">ROW(B6)-5</f>
        <v>1</v>
      </c>
      <c r="C6" s="98" t="s">
        <v>331</v>
      </c>
      <c r="D6" s="98" t="s">
        <v>332</v>
      </c>
      <c r="E6" s="99" t="s">
        <v>333</v>
      </c>
      <c r="F6" s="100">
        <f>SUM(G6,J6,M6,P6,S6)</f>
        <v>400000</v>
      </c>
      <c r="G6" s="101"/>
      <c r="H6" s="102"/>
      <c r="I6" s="103"/>
      <c r="J6" s="104"/>
      <c r="K6" s="105"/>
      <c r="L6" s="106"/>
      <c r="M6" s="104"/>
      <c r="N6" s="105"/>
      <c r="O6" s="106"/>
      <c r="P6" s="107"/>
      <c r="Q6" s="108"/>
      <c r="R6" s="109"/>
      <c r="S6" s="110">
        <v>400000</v>
      </c>
      <c r="T6" s="108" t="s">
        <v>336</v>
      </c>
      <c r="U6" s="136" t="s">
        <v>319</v>
      </c>
      <c r="V6" s="111" t="s">
        <v>335</v>
      </c>
    </row>
    <row r="7" spans="2:22" x14ac:dyDescent="0.4">
      <c r="B7" s="4">
        <f t="shared" si="0"/>
        <v>2</v>
      </c>
      <c r="C7" s="55" t="s">
        <v>331</v>
      </c>
      <c r="D7" s="55" t="s">
        <v>332</v>
      </c>
      <c r="E7" s="56" t="s">
        <v>334</v>
      </c>
      <c r="F7" s="5">
        <f>SUM(G7,J7,M7,P7,S7)</f>
        <v>400000</v>
      </c>
      <c r="G7" s="30"/>
      <c r="H7" s="18"/>
      <c r="I7" s="19"/>
      <c r="J7" s="12"/>
      <c r="K7" s="13"/>
      <c r="L7" s="14"/>
      <c r="M7" s="12"/>
      <c r="N7" s="13"/>
      <c r="O7" s="14"/>
      <c r="P7" s="35"/>
      <c r="Q7" s="23"/>
      <c r="R7" s="24"/>
      <c r="S7" s="22">
        <v>400000</v>
      </c>
      <c r="T7" s="23" t="s">
        <v>328</v>
      </c>
      <c r="U7" s="137" t="s">
        <v>318</v>
      </c>
      <c r="V7" s="38" t="s">
        <v>335</v>
      </c>
    </row>
    <row r="8" spans="2:22" x14ac:dyDescent="0.4">
      <c r="B8" s="77">
        <f t="shared" si="0"/>
        <v>3</v>
      </c>
      <c r="C8" s="96" t="s">
        <v>56</v>
      </c>
      <c r="D8" s="96" t="s">
        <v>355</v>
      </c>
      <c r="E8" s="97" t="s">
        <v>363</v>
      </c>
      <c r="F8" s="78">
        <f t="shared" ref="F8:F17" si="1">SUM(G8,J8,M8,P8,S8)</f>
        <v>5000</v>
      </c>
      <c r="G8" s="79"/>
      <c r="H8" s="80"/>
      <c r="I8" s="81"/>
      <c r="J8" s="82"/>
      <c r="K8" s="83"/>
      <c r="L8" s="84"/>
      <c r="M8" s="82"/>
      <c r="N8" s="83"/>
      <c r="O8" s="84"/>
      <c r="P8" s="85"/>
      <c r="Q8" s="86"/>
      <c r="R8" s="87"/>
      <c r="S8" s="88">
        <v>5000</v>
      </c>
      <c r="T8" s="86" t="s">
        <v>328</v>
      </c>
      <c r="U8" s="133" t="s">
        <v>318</v>
      </c>
      <c r="V8" s="89"/>
    </row>
    <row r="9" spans="2:22" x14ac:dyDescent="0.4">
      <c r="B9" s="140">
        <f t="shared" si="0"/>
        <v>4</v>
      </c>
      <c r="C9" s="98" t="s">
        <v>367</v>
      </c>
      <c r="D9" s="141" t="s">
        <v>369</v>
      </c>
      <c r="E9" s="99" t="s">
        <v>370</v>
      </c>
      <c r="F9" s="100">
        <f>SUM(G9,J9,M9,P9,S9)</f>
        <v>6000</v>
      </c>
      <c r="G9" s="101"/>
      <c r="H9" s="102"/>
      <c r="I9" s="103"/>
      <c r="J9" s="104"/>
      <c r="K9" s="105"/>
      <c r="L9" s="106"/>
      <c r="M9" s="104"/>
      <c r="N9" s="105"/>
      <c r="O9" s="106"/>
      <c r="P9" s="107"/>
      <c r="Q9" s="108"/>
      <c r="R9" s="109"/>
      <c r="S9" s="110">
        <v>6000</v>
      </c>
      <c r="T9" s="108" t="s">
        <v>328</v>
      </c>
      <c r="U9" s="136" t="s">
        <v>375</v>
      </c>
      <c r="V9" s="111"/>
    </row>
    <row r="10" spans="2:22" x14ac:dyDescent="0.4">
      <c r="B10" s="4">
        <f t="shared" si="0"/>
        <v>5</v>
      </c>
      <c r="C10" s="55" t="s">
        <v>367</v>
      </c>
      <c r="D10" s="55" t="s">
        <v>368</v>
      </c>
      <c r="E10" s="56" t="s">
        <v>371</v>
      </c>
      <c r="F10" s="5">
        <f t="shared" si="1"/>
        <v>9000</v>
      </c>
      <c r="G10" s="30"/>
      <c r="H10" s="18"/>
      <c r="I10" s="19"/>
      <c r="J10" s="12"/>
      <c r="K10" s="13"/>
      <c r="L10" s="14"/>
      <c r="M10" s="12"/>
      <c r="N10" s="13"/>
      <c r="O10" s="14"/>
      <c r="P10" s="35"/>
      <c r="Q10" s="23"/>
      <c r="R10" s="24"/>
      <c r="S10" s="22">
        <v>9000</v>
      </c>
      <c r="T10" s="23" t="s">
        <v>328</v>
      </c>
      <c r="U10" s="137" t="s">
        <v>374</v>
      </c>
      <c r="V10" s="38"/>
    </row>
    <row r="11" spans="2:22" x14ac:dyDescent="0.4">
      <c r="B11" s="77">
        <f t="shared" si="0"/>
        <v>6</v>
      </c>
      <c r="C11" s="96" t="s">
        <v>367</v>
      </c>
      <c r="D11" s="96" t="s">
        <v>368</v>
      </c>
      <c r="E11" s="97" t="s">
        <v>372</v>
      </c>
      <c r="F11" s="78">
        <f t="shared" si="1"/>
        <v>12000</v>
      </c>
      <c r="G11" s="79"/>
      <c r="H11" s="80"/>
      <c r="I11" s="81"/>
      <c r="J11" s="82"/>
      <c r="K11" s="83"/>
      <c r="L11" s="84"/>
      <c r="M11" s="82"/>
      <c r="N11" s="83"/>
      <c r="O11" s="84"/>
      <c r="P11" s="85"/>
      <c r="Q11" s="86"/>
      <c r="R11" s="87"/>
      <c r="S11" s="88">
        <v>12000</v>
      </c>
      <c r="T11" s="86" t="s">
        <v>328</v>
      </c>
      <c r="U11" s="133" t="s">
        <v>374</v>
      </c>
      <c r="V11" s="89"/>
    </row>
    <row r="12" spans="2:22" x14ac:dyDescent="0.4">
      <c r="B12" s="140">
        <f t="shared" si="0"/>
        <v>7</v>
      </c>
      <c r="C12" s="98" t="s">
        <v>367</v>
      </c>
      <c r="D12" s="98" t="s">
        <v>368</v>
      </c>
      <c r="E12" s="99" t="s">
        <v>373</v>
      </c>
      <c r="F12" s="100">
        <f>SUM(G12,J12,M12,P12,S12)</f>
        <v>25000</v>
      </c>
      <c r="G12" s="101"/>
      <c r="H12" s="102"/>
      <c r="I12" s="103"/>
      <c r="J12" s="104"/>
      <c r="K12" s="105"/>
      <c r="L12" s="106"/>
      <c r="M12" s="104"/>
      <c r="N12" s="105"/>
      <c r="O12" s="106"/>
      <c r="P12" s="107"/>
      <c r="Q12" s="108"/>
      <c r="R12" s="109"/>
      <c r="S12" s="110">
        <v>25000</v>
      </c>
      <c r="T12" s="108" t="s">
        <v>328</v>
      </c>
      <c r="U12" s="136" t="s">
        <v>374</v>
      </c>
      <c r="V12" s="111"/>
    </row>
    <row r="13" spans="2:22" x14ac:dyDescent="0.4">
      <c r="B13" s="4">
        <f t="shared" si="0"/>
        <v>8</v>
      </c>
      <c r="C13" s="55" t="s">
        <v>25</v>
      </c>
      <c r="D13" s="55" t="s">
        <v>383</v>
      </c>
      <c r="E13" s="56" t="s">
        <v>384</v>
      </c>
      <c r="F13" s="5">
        <f t="shared" si="1"/>
        <v>20000</v>
      </c>
      <c r="G13" s="30"/>
      <c r="H13" s="18"/>
      <c r="I13" s="19"/>
      <c r="J13" s="12"/>
      <c r="K13" s="13"/>
      <c r="L13" s="14"/>
      <c r="M13" s="12"/>
      <c r="N13" s="13"/>
      <c r="O13" s="14"/>
      <c r="P13" s="35"/>
      <c r="Q13" s="23"/>
      <c r="R13" s="24"/>
      <c r="S13" s="22">
        <v>20000</v>
      </c>
      <c r="T13" s="23" t="s">
        <v>328</v>
      </c>
      <c r="U13" s="137" t="s">
        <v>318</v>
      </c>
      <c r="V13" s="38"/>
    </row>
    <row r="14" spans="2:22" x14ac:dyDescent="0.4">
      <c r="B14" s="77">
        <f t="shared" si="0"/>
        <v>9</v>
      </c>
      <c r="C14" s="96" t="s">
        <v>38</v>
      </c>
      <c r="D14" s="96" t="s">
        <v>385</v>
      </c>
      <c r="E14" s="97" t="s">
        <v>386</v>
      </c>
      <c r="F14" s="78">
        <f t="shared" si="1"/>
        <v>50000</v>
      </c>
      <c r="G14" s="79"/>
      <c r="H14" s="80"/>
      <c r="I14" s="81"/>
      <c r="J14" s="82"/>
      <c r="K14" s="83"/>
      <c r="L14" s="84"/>
      <c r="M14" s="82"/>
      <c r="N14" s="83"/>
      <c r="O14" s="84"/>
      <c r="P14" s="85"/>
      <c r="Q14" s="86"/>
      <c r="R14" s="87"/>
      <c r="S14" s="88">
        <v>50000</v>
      </c>
      <c r="T14" s="86" t="s">
        <v>328</v>
      </c>
      <c r="U14" s="133" t="s">
        <v>318</v>
      </c>
      <c r="V14" s="89"/>
    </row>
    <row r="15" spans="2:22" x14ac:dyDescent="0.4">
      <c r="B15" s="140">
        <f t="shared" si="0"/>
        <v>10</v>
      </c>
      <c r="C15" s="98" t="s">
        <v>32</v>
      </c>
      <c r="D15" s="98" t="s">
        <v>387</v>
      </c>
      <c r="E15" s="99" t="s">
        <v>388</v>
      </c>
      <c r="F15" s="100">
        <f t="shared" si="1"/>
        <v>400000</v>
      </c>
      <c r="G15" s="101"/>
      <c r="H15" s="102"/>
      <c r="I15" s="103"/>
      <c r="J15" s="104"/>
      <c r="K15" s="105"/>
      <c r="L15" s="106"/>
      <c r="M15" s="104"/>
      <c r="N15" s="105"/>
      <c r="O15" s="106"/>
      <c r="P15" s="107"/>
      <c r="Q15" s="108"/>
      <c r="R15" s="109"/>
      <c r="S15" s="110">
        <v>400000</v>
      </c>
      <c r="T15" s="108" t="s">
        <v>328</v>
      </c>
      <c r="U15" s="136" t="s">
        <v>318</v>
      </c>
      <c r="V15" s="111" t="s">
        <v>392</v>
      </c>
    </row>
    <row r="16" spans="2:22" x14ac:dyDescent="0.4">
      <c r="B16" s="4">
        <f t="shared" si="0"/>
        <v>11</v>
      </c>
      <c r="C16" s="55" t="s">
        <v>32</v>
      </c>
      <c r="D16" s="55" t="s">
        <v>387</v>
      </c>
      <c r="E16" s="56" t="s">
        <v>389</v>
      </c>
      <c r="F16" s="5">
        <f t="shared" si="1"/>
        <v>200000</v>
      </c>
      <c r="G16" s="30"/>
      <c r="H16" s="18"/>
      <c r="I16" s="19"/>
      <c r="J16" s="12"/>
      <c r="K16" s="13"/>
      <c r="L16" s="14"/>
      <c r="M16" s="12"/>
      <c r="N16" s="13"/>
      <c r="O16" s="14"/>
      <c r="P16" s="35"/>
      <c r="Q16" s="23"/>
      <c r="R16" s="24"/>
      <c r="S16" s="22">
        <v>200000</v>
      </c>
      <c r="T16" s="23" t="s">
        <v>328</v>
      </c>
      <c r="U16" s="137" t="s">
        <v>318</v>
      </c>
      <c r="V16" s="38" t="s">
        <v>391</v>
      </c>
    </row>
    <row r="17" spans="2:22" x14ac:dyDescent="0.4">
      <c r="B17" s="77">
        <f t="shared" si="0"/>
        <v>12</v>
      </c>
      <c r="C17" s="96" t="s">
        <v>32</v>
      </c>
      <c r="D17" s="96" t="s">
        <v>387</v>
      </c>
      <c r="E17" s="97" t="s">
        <v>390</v>
      </c>
      <c r="F17" s="78">
        <f t="shared" si="1"/>
        <v>300000</v>
      </c>
      <c r="G17" s="79"/>
      <c r="H17" s="80"/>
      <c r="I17" s="81"/>
      <c r="J17" s="82"/>
      <c r="K17" s="83"/>
      <c r="L17" s="84"/>
      <c r="M17" s="82"/>
      <c r="N17" s="83"/>
      <c r="O17" s="84"/>
      <c r="P17" s="85"/>
      <c r="Q17" s="86"/>
      <c r="R17" s="87"/>
      <c r="S17" s="88">
        <v>300000</v>
      </c>
      <c r="T17" s="86" t="s">
        <v>328</v>
      </c>
      <c r="U17" s="133" t="s">
        <v>318</v>
      </c>
      <c r="V17" s="89" t="s">
        <v>391</v>
      </c>
    </row>
    <row r="18" spans="2:22" x14ac:dyDescent="0.4">
      <c r="B18" s="140">
        <f t="shared" si="0"/>
        <v>13</v>
      </c>
      <c r="C18" s="98" t="s">
        <v>400</v>
      </c>
      <c r="D18" s="98" t="s">
        <v>332</v>
      </c>
      <c r="E18" s="99" t="s">
        <v>401</v>
      </c>
      <c r="F18" s="100">
        <f t="shared" ref="F18:F46" si="2">SUM(G18,J18,M18,P18,S18)</f>
        <v>50000</v>
      </c>
      <c r="G18" s="101"/>
      <c r="H18" s="102"/>
      <c r="I18" s="103"/>
      <c r="J18" s="104"/>
      <c r="K18" s="105"/>
      <c r="L18" s="106"/>
      <c r="M18" s="104"/>
      <c r="N18" s="105"/>
      <c r="O18" s="106"/>
      <c r="P18" s="107"/>
      <c r="Q18" s="108"/>
      <c r="R18" s="109"/>
      <c r="S18" s="110">
        <v>50000</v>
      </c>
      <c r="T18" s="108" t="s">
        <v>404</v>
      </c>
      <c r="U18" s="136" t="s">
        <v>318</v>
      </c>
      <c r="V18" s="111"/>
    </row>
    <row r="19" spans="2:22" x14ac:dyDescent="0.4">
      <c r="B19" s="4">
        <f t="shared" si="0"/>
        <v>14</v>
      </c>
      <c r="C19" s="55" t="s">
        <v>400</v>
      </c>
      <c r="D19" s="55" t="s">
        <v>332</v>
      </c>
      <c r="E19" s="56" t="s">
        <v>402</v>
      </c>
      <c r="F19" s="5">
        <f t="shared" si="2"/>
        <v>50000</v>
      </c>
      <c r="G19" s="30"/>
      <c r="H19" s="18"/>
      <c r="I19" s="19"/>
      <c r="J19" s="12"/>
      <c r="K19" s="13"/>
      <c r="L19" s="14"/>
      <c r="M19" s="12"/>
      <c r="N19" s="13"/>
      <c r="O19" s="14"/>
      <c r="P19" s="35"/>
      <c r="Q19" s="23"/>
      <c r="R19" s="24"/>
      <c r="S19" s="22">
        <v>50000</v>
      </c>
      <c r="T19" s="23" t="s">
        <v>404</v>
      </c>
      <c r="U19" s="137" t="s">
        <v>318</v>
      </c>
      <c r="V19" s="38"/>
    </row>
    <row r="20" spans="2:22" x14ac:dyDescent="0.4">
      <c r="B20" s="77">
        <f t="shared" si="0"/>
        <v>15</v>
      </c>
      <c r="C20" s="96" t="s">
        <v>400</v>
      </c>
      <c r="D20" s="96" t="s">
        <v>332</v>
      </c>
      <c r="E20" s="97" t="s">
        <v>403</v>
      </c>
      <c r="F20" s="78">
        <f t="shared" si="2"/>
        <v>50000</v>
      </c>
      <c r="G20" s="79"/>
      <c r="H20" s="80"/>
      <c r="I20" s="81"/>
      <c r="J20" s="82"/>
      <c r="K20" s="83"/>
      <c r="L20" s="84"/>
      <c r="M20" s="82"/>
      <c r="N20" s="83"/>
      <c r="O20" s="84"/>
      <c r="P20" s="85"/>
      <c r="Q20" s="86"/>
      <c r="R20" s="87"/>
      <c r="S20" s="88">
        <v>50000</v>
      </c>
      <c r="T20" s="86" t="s">
        <v>404</v>
      </c>
      <c r="U20" s="133" t="s">
        <v>318</v>
      </c>
      <c r="V20" s="89"/>
    </row>
    <row r="21" spans="2:22" x14ac:dyDescent="0.4">
      <c r="B21" s="140">
        <f t="shared" si="0"/>
        <v>16</v>
      </c>
      <c r="C21" s="98"/>
      <c r="D21" s="98"/>
      <c r="E21" s="99"/>
      <c r="F21" s="100">
        <f t="shared" si="2"/>
        <v>0</v>
      </c>
      <c r="G21" s="101"/>
      <c r="H21" s="102"/>
      <c r="I21" s="103"/>
      <c r="J21" s="104"/>
      <c r="K21" s="105"/>
      <c r="L21" s="106"/>
      <c r="M21" s="104"/>
      <c r="N21" s="105"/>
      <c r="O21" s="106"/>
      <c r="P21" s="107"/>
      <c r="Q21" s="108"/>
      <c r="R21" s="109"/>
      <c r="S21" s="110"/>
      <c r="T21" s="108"/>
      <c r="U21" s="136"/>
      <c r="V21" s="111"/>
    </row>
    <row r="22" spans="2:22" x14ac:dyDescent="0.4">
      <c r="B22" s="4">
        <f t="shared" si="0"/>
        <v>17</v>
      </c>
      <c r="C22" s="55"/>
      <c r="D22" s="55"/>
      <c r="E22" s="56"/>
      <c r="F22" s="5">
        <f t="shared" si="2"/>
        <v>0</v>
      </c>
      <c r="G22" s="30"/>
      <c r="H22" s="18"/>
      <c r="I22" s="19"/>
      <c r="J22" s="12"/>
      <c r="K22" s="13"/>
      <c r="L22" s="14"/>
      <c r="M22" s="12"/>
      <c r="N22" s="13"/>
      <c r="O22" s="14"/>
      <c r="P22" s="35"/>
      <c r="Q22" s="23"/>
      <c r="R22" s="24"/>
      <c r="S22" s="22"/>
      <c r="T22" s="23"/>
      <c r="U22" s="137"/>
      <c r="V22" s="38"/>
    </row>
    <row r="23" spans="2:22" x14ac:dyDescent="0.4">
      <c r="B23" s="77">
        <f t="shared" si="0"/>
        <v>18</v>
      </c>
      <c r="C23" s="96"/>
      <c r="D23" s="96"/>
      <c r="E23" s="97"/>
      <c r="F23" s="78">
        <f t="shared" si="2"/>
        <v>0</v>
      </c>
      <c r="G23" s="79"/>
      <c r="H23" s="80"/>
      <c r="I23" s="81"/>
      <c r="J23" s="82"/>
      <c r="K23" s="83"/>
      <c r="L23" s="84"/>
      <c r="M23" s="82"/>
      <c r="N23" s="83"/>
      <c r="O23" s="84"/>
      <c r="P23" s="85"/>
      <c r="Q23" s="86"/>
      <c r="R23" s="87"/>
      <c r="S23" s="88"/>
      <c r="T23" s="86"/>
      <c r="U23" s="133"/>
      <c r="V23" s="89"/>
    </row>
    <row r="24" spans="2:22" x14ac:dyDescent="0.4">
      <c r="B24" s="140">
        <f t="shared" si="0"/>
        <v>19</v>
      </c>
      <c r="C24" s="98"/>
      <c r="D24" s="98"/>
      <c r="E24" s="99"/>
      <c r="F24" s="100">
        <f t="shared" si="2"/>
        <v>0</v>
      </c>
      <c r="G24" s="101"/>
      <c r="H24" s="102"/>
      <c r="I24" s="103"/>
      <c r="J24" s="104"/>
      <c r="K24" s="105"/>
      <c r="L24" s="106"/>
      <c r="M24" s="104"/>
      <c r="N24" s="105"/>
      <c r="O24" s="106"/>
      <c r="P24" s="107"/>
      <c r="Q24" s="108"/>
      <c r="R24" s="109"/>
      <c r="S24" s="110"/>
      <c r="T24" s="108"/>
      <c r="U24" s="136"/>
      <c r="V24" s="111"/>
    </row>
    <row r="25" spans="2:22" x14ac:dyDescent="0.4">
      <c r="B25" s="4">
        <f t="shared" si="0"/>
        <v>20</v>
      </c>
      <c r="C25" s="55"/>
      <c r="D25" s="55"/>
      <c r="E25" s="56"/>
      <c r="F25" s="5">
        <f t="shared" si="2"/>
        <v>0</v>
      </c>
      <c r="G25" s="30"/>
      <c r="H25" s="18"/>
      <c r="I25" s="19"/>
      <c r="J25" s="12"/>
      <c r="K25" s="13"/>
      <c r="L25" s="14"/>
      <c r="M25" s="12"/>
      <c r="N25" s="13"/>
      <c r="O25" s="14"/>
      <c r="P25" s="35"/>
      <c r="Q25" s="23"/>
      <c r="R25" s="24"/>
      <c r="S25" s="22"/>
      <c r="T25" s="23"/>
      <c r="U25" s="137"/>
      <c r="V25" s="38"/>
    </row>
    <row r="26" spans="2:22" x14ac:dyDescent="0.4">
      <c r="B26" s="77">
        <f t="shared" si="0"/>
        <v>21</v>
      </c>
      <c r="C26" s="96"/>
      <c r="D26" s="96"/>
      <c r="E26" s="97"/>
      <c r="F26" s="78">
        <f t="shared" si="2"/>
        <v>0</v>
      </c>
      <c r="G26" s="79"/>
      <c r="H26" s="80"/>
      <c r="I26" s="81"/>
      <c r="J26" s="82"/>
      <c r="K26" s="83"/>
      <c r="L26" s="84"/>
      <c r="M26" s="82"/>
      <c r="N26" s="83"/>
      <c r="O26" s="84"/>
      <c r="P26" s="85"/>
      <c r="Q26" s="86"/>
      <c r="R26" s="87"/>
      <c r="S26" s="88"/>
      <c r="T26" s="86"/>
      <c r="U26" s="133"/>
      <c r="V26" s="89"/>
    </row>
    <row r="27" spans="2:22" x14ac:dyDescent="0.4">
      <c r="B27" s="140">
        <f t="shared" si="0"/>
        <v>22</v>
      </c>
      <c r="C27" s="98"/>
      <c r="D27" s="98"/>
      <c r="E27" s="99"/>
      <c r="F27" s="100">
        <f t="shared" si="2"/>
        <v>0</v>
      </c>
      <c r="G27" s="101"/>
      <c r="H27" s="102"/>
      <c r="I27" s="103"/>
      <c r="J27" s="104"/>
      <c r="K27" s="105"/>
      <c r="L27" s="106"/>
      <c r="M27" s="104"/>
      <c r="N27" s="105"/>
      <c r="O27" s="106"/>
      <c r="P27" s="107"/>
      <c r="Q27" s="108"/>
      <c r="R27" s="109"/>
      <c r="S27" s="110"/>
      <c r="T27" s="108"/>
      <c r="U27" s="136"/>
      <c r="V27" s="111"/>
    </row>
    <row r="28" spans="2:22" x14ac:dyDescent="0.4">
      <c r="B28" s="4">
        <f t="shared" si="0"/>
        <v>23</v>
      </c>
      <c r="C28" s="55"/>
      <c r="D28" s="55"/>
      <c r="E28" s="56"/>
      <c r="F28" s="5">
        <f t="shared" si="2"/>
        <v>0</v>
      </c>
      <c r="G28" s="30"/>
      <c r="H28" s="18"/>
      <c r="I28" s="19"/>
      <c r="J28" s="12"/>
      <c r="K28" s="13"/>
      <c r="L28" s="14"/>
      <c r="M28" s="12"/>
      <c r="N28" s="13"/>
      <c r="O28" s="14"/>
      <c r="P28" s="35"/>
      <c r="Q28" s="23"/>
      <c r="R28" s="24"/>
      <c r="S28" s="22"/>
      <c r="T28" s="23"/>
      <c r="U28" s="137"/>
      <c r="V28" s="38"/>
    </row>
    <row r="29" spans="2:22" x14ac:dyDescent="0.4">
      <c r="B29" s="77">
        <f t="shared" si="0"/>
        <v>24</v>
      </c>
      <c r="C29" s="96"/>
      <c r="D29" s="96"/>
      <c r="E29" s="97"/>
      <c r="F29" s="78">
        <f t="shared" si="2"/>
        <v>0</v>
      </c>
      <c r="G29" s="79"/>
      <c r="H29" s="80"/>
      <c r="I29" s="81"/>
      <c r="J29" s="82"/>
      <c r="K29" s="83"/>
      <c r="L29" s="84"/>
      <c r="M29" s="82"/>
      <c r="N29" s="83"/>
      <c r="O29" s="84"/>
      <c r="P29" s="85"/>
      <c r="Q29" s="86"/>
      <c r="R29" s="87"/>
      <c r="S29" s="88"/>
      <c r="T29" s="86"/>
      <c r="U29" s="133"/>
      <c r="V29" s="89"/>
    </row>
    <row r="30" spans="2:22" x14ac:dyDescent="0.4">
      <c r="B30" s="140">
        <f t="shared" si="0"/>
        <v>25</v>
      </c>
      <c r="C30" s="98"/>
      <c r="D30" s="98"/>
      <c r="E30" s="99"/>
      <c r="F30" s="100">
        <f t="shared" si="2"/>
        <v>0</v>
      </c>
      <c r="G30" s="101"/>
      <c r="H30" s="102"/>
      <c r="I30" s="103"/>
      <c r="J30" s="104"/>
      <c r="K30" s="105"/>
      <c r="L30" s="106"/>
      <c r="M30" s="104"/>
      <c r="N30" s="105"/>
      <c r="O30" s="106"/>
      <c r="P30" s="107"/>
      <c r="Q30" s="108"/>
      <c r="R30" s="109"/>
      <c r="S30" s="110"/>
      <c r="T30" s="108"/>
      <c r="U30" s="136"/>
      <c r="V30" s="111"/>
    </row>
    <row r="31" spans="2:22" x14ac:dyDescent="0.4">
      <c r="B31" s="4">
        <f t="shared" si="0"/>
        <v>26</v>
      </c>
      <c r="C31" s="55"/>
      <c r="D31" s="55"/>
      <c r="E31" s="56"/>
      <c r="F31" s="5">
        <f t="shared" si="2"/>
        <v>0</v>
      </c>
      <c r="G31" s="30"/>
      <c r="H31" s="18"/>
      <c r="I31" s="19"/>
      <c r="J31" s="12"/>
      <c r="K31" s="13"/>
      <c r="L31" s="14"/>
      <c r="M31" s="12"/>
      <c r="N31" s="13"/>
      <c r="O31" s="14"/>
      <c r="P31" s="35"/>
      <c r="Q31" s="23"/>
      <c r="R31" s="24"/>
      <c r="S31" s="22"/>
      <c r="T31" s="23"/>
      <c r="U31" s="137"/>
      <c r="V31" s="38"/>
    </row>
    <row r="32" spans="2:22" x14ac:dyDescent="0.4">
      <c r="B32" s="77">
        <f t="shared" si="0"/>
        <v>27</v>
      </c>
      <c r="C32" s="96"/>
      <c r="D32" s="96"/>
      <c r="E32" s="97"/>
      <c r="F32" s="78">
        <f t="shared" si="2"/>
        <v>0</v>
      </c>
      <c r="G32" s="79"/>
      <c r="H32" s="80"/>
      <c r="I32" s="81"/>
      <c r="J32" s="82"/>
      <c r="K32" s="83"/>
      <c r="L32" s="84"/>
      <c r="M32" s="82"/>
      <c r="N32" s="83"/>
      <c r="O32" s="84"/>
      <c r="P32" s="85"/>
      <c r="Q32" s="86"/>
      <c r="R32" s="87"/>
      <c r="S32" s="88"/>
      <c r="T32" s="86"/>
      <c r="U32" s="133"/>
      <c r="V32" s="89"/>
    </row>
    <row r="33" spans="2:22" x14ac:dyDescent="0.4">
      <c r="B33" s="140">
        <f t="shared" si="0"/>
        <v>28</v>
      </c>
      <c r="C33" s="98"/>
      <c r="D33" s="98"/>
      <c r="E33" s="99"/>
      <c r="F33" s="100">
        <f t="shared" si="2"/>
        <v>0</v>
      </c>
      <c r="G33" s="101"/>
      <c r="H33" s="102"/>
      <c r="I33" s="103"/>
      <c r="J33" s="104"/>
      <c r="K33" s="105"/>
      <c r="L33" s="106"/>
      <c r="M33" s="104"/>
      <c r="N33" s="105"/>
      <c r="O33" s="106"/>
      <c r="P33" s="107"/>
      <c r="Q33" s="108"/>
      <c r="R33" s="109"/>
      <c r="S33" s="110"/>
      <c r="T33" s="108"/>
      <c r="U33" s="136"/>
      <c r="V33" s="111"/>
    </row>
    <row r="34" spans="2:22" x14ac:dyDescent="0.4">
      <c r="B34" s="4">
        <f t="shared" si="0"/>
        <v>29</v>
      </c>
      <c r="C34" s="55"/>
      <c r="D34" s="55"/>
      <c r="E34" s="56"/>
      <c r="F34" s="5">
        <f t="shared" si="2"/>
        <v>0</v>
      </c>
      <c r="G34" s="30"/>
      <c r="H34" s="18"/>
      <c r="I34" s="19"/>
      <c r="J34" s="12"/>
      <c r="K34" s="13"/>
      <c r="L34" s="14"/>
      <c r="M34" s="12"/>
      <c r="N34" s="13"/>
      <c r="O34" s="14"/>
      <c r="P34" s="35"/>
      <c r="Q34" s="23"/>
      <c r="R34" s="24"/>
      <c r="S34" s="22"/>
      <c r="T34" s="23"/>
      <c r="U34" s="137"/>
      <c r="V34" s="38"/>
    </row>
    <row r="35" spans="2:22" x14ac:dyDescent="0.4">
      <c r="B35" s="77">
        <f t="shared" si="0"/>
        <v>30</v>
      </c>
      <c r="C35" s="96"/>
      <c r="D35" s="96"/>
      <c r="E35" s="97"/>
      <c r="F35" s="78">
        <f t="shared" si="2"/>
        <v>0</v>
      </c>
      <c r="G35" s="79"/>
      <c r="H35" s="80"/>
      <c r="I35" s="81"/>
      <c r="J35" s="82"/>
      <c r="K35" s="83"/>
      <c r="L35" s="84"/>
      <c r="M35" s="82"/>
      <c r="N35" s="83"/>
      <c r="O35" s="84"/>
      <c r="P35" s="85"/>
      <c r="Q35" s="86"/>
      <c r="R35" s="87"/>
      <c r="S35" s="88"/>
      <c r="T35" s="86"/>
      <c r="U35" s="133"/>
      <c r="V35" s="89"/>
    </row>
    <row r="36" spans="2:22" x14ac:dyDescent="0.4">
      <c r="B36" s="140">
        <f t="shared" si="0"/>
        <v>31</v>
      </c>
      <c r="C36" s="98"/>
      <c r="D36" s="98"/>
      <c r="E36" s="99"/>
      <c r="F36" s="100">
        <f t="shared" si="2"/>
        <v>0</v>
      </c>
      <c r="G36" s="101"/>
      <c r="H36" s="102"/>
      <c r="I36" s="103"/>
      <c r="J36" s="104"/>
      <c r="K36" s="105"/>
      <c r="L36" s="106"/>
      <c r="M36" s="104"/>
      <c r="N36" s="105"/>
      <c r="O36" s="106"/>
      <c r="P36" s="107"/>
      <c r="Q36" s="108"/>
      <c r="R36" s="109"/>
      <c r="S36" s="110"/>
      <c r="T36" s="108"/>
      <c r="U36" s="136"/>
      <c r="V36" s="111"/>
    </row>
    <row r="37" spans="2:22" x14ac:dyDescent="0.4">
      <c r="B37" s="4">
        <f t="shared" si="0"/>
        <v>32</v>
      </c>
      <c r="C37" s="55"/>
      <c r="D37" s="55"/>
      <c r="E37" s="56"/>
      <c r="F37" s="5">
        <f t="shared" si="2"/>
        <v>0</v>
      </c>
      <c r="G37" s="30"/>
      <c r="H37" s="18"/>
      <c r="I37" s="19"/>
      <c r="J37" s="12"/>
      <c r="K37" s="13"/>
      <c r="L37" s="14"/>
      <c r="M37" s="12"/>
      <c r="N37" s="13"/>
      <c r="O37" s="14"/>
      <c r="P37" s="35"/>
      <c r="Q37" s="23"/>
      <c r="R37" s="24"/>
      <c r="S37" s="22"/>
      <c r="T37" s="23"/>
      <c r="U37" s="137"/>
      <c r="V37" s="38"/>
    </row>
    <row r="38" spans="2:22" x14ac:dyDescent="0.4">
      <c r="B38" s="77">
        <f t="shared" si="0"/>
        <v>33</v>
      </c>
      <c r="C38" s="96"/>
      <c r="D38" s="96"/>
      <c r="E38" s="97"/>
      <c r="F38" s="78">
        <f t="shared" si="2"/>
        <v>0</v>
      </c>
      <c r="G38" s="79"/>
      <c r="H38" s="80"/>
      <c r="I38" s="81"/>
      <c r="J38" s="82"/>
      <c r="K38" s="83"/>
      <c r="L38" s="84"/>
      <c r="M38" s="82"/>
      <c r="N38" s="83"/>
      <c r="O38" s="84"/>
      <c r="P38" s="85"/>
      <c r="Q38" s="86"/>
      <c r="R38" s="87"/>
      <c r="S38" s="88"/>
      <c r="T38" s="86"/>
      <c r="U38" s="133"/>
      <c r="V38" s="89"/>
    </row>
    <row r="39" spans="2:22" x14ac:dyDescent="0.4">
      <c r="B39" s="140">
        <f t="shared" si="0"/>
        <v>34</v>
      </c>
      <c r="C39" s="98"/>
      <c r="D39" s="98"/>
      <c r="E39" s="99"/>
      <c r="F39" s="100">
        <f t="shared" si="2"/>
        <v>0</v>
      </c>
      <c r="G39" s="101"/>
      <c r="H39" s="102"/>
      <c r="I39" s="103"/>
      <c r="J39" s="104"/>
      <c r="K39" s="105"/>
      <c r="L39" s="106"/>
      <c r="M39" s="104"/>
      <c r="N39" s="105"/>
      <c r="O39" s="106"/>
      <c r="P39" s="107"/>
      <c r="Q39" s="108"/>
      <c r="R39" s="109"/>
      <c r="S39" s="110"/>
      <c r="T39" s="108"/>
      <c r="U39" s="136"/>
      <c r="V39" s="111"/>
    </row>
    <row r="40" spans="2:22" x14ac:dyDescent="0.4">
      <c r="B40" s="4">
        <f t="shared" si="0"/>
        <v>35</v>
      </c>
      <c r="C40" s="55"/>
      <c r="D40" s="55"/>
      <c r="E40" s="56"/>
      <c r="F40" s="5">
        <f t="shared" si="2"/>
        <v>0</v>
      </c>
      <c r="G40" s="30"/>
      <c r="H40" s="18"/>
      <c r="I40" s="19"/>
      <c r="J40" s="12"/>
      <c r="K40" s="13"/>
      <c r="L40" s="14"/>
      <c r="M40" s="12"/>
      <c r="N40" s="13"/>
      <c r="O40" s="14"/>
      <c r="P40" s="35"/>
      <c r="Q40" s="23"/>
      <c r="R40" s="24"/>
      <c r="S40" s="22"/>
      <c r="T40" s="23"/>
      <c r="U40" s="137"/>
      <c r="V40" s="38"/>
    </row>
    <row r="41" spans="2:22" x14ac:dyDescent="0.4">
      <c r="B41" s="77">
        <f t="shared" si="0"/>
        <v>36</v>
      </c>
      <c r="C41" s="96"/>
      <c r="D41" s="96"/>
      <c r="E41" s="97"/>
      <c r="F41" s="78">
        <f t="shared" si="2"/>
        <v>0</v>
      </c>
      <c r="G41" s="79"/>
      <c r="H41" s="80"/>
      <c r="I41" s="81"/>
      <c r="J41" s="82"/>
      <c r="K41" s="83"/>
      <c r="L41" s="84"/>
      <c r="M41" s="82"/>
      <c r="N41" s="83"/>
      <c r="O41" s="84"/>
      <c r="P41" s="85"/>
      <c r="Q41" s="86"/>
      <c r="R41" s="87"/>
      <c r="S41" s="88"/>
      <c r="T41" s="86"/>
      <c r="U41" s="133"/>
      <c r="V41" s="89"/>
    </row>
    <row r="42" spans="2:22" x14ac:dyDescent="0.4">
      <c r="B42" s="140">
        <f t="shared" si="0"/>
        <v>37</v>
      </c>
      <c r="C42" s="98"/>
      <c r="D42" s="98"/>
      <c r="E42" s="99"/>
      <c r="F42" s="100">
        <f t="shared" si="2"/>
        <v>0</v>
      </c>
      <c r="G42" s="101"/>
      <c r="H42" s="102"/>
      <c r="I42" s="103"/>
      <c r="J42" s="104"/>
      <c r="K42" s="105"/>
      <c r="L42" s="106"/>
      <c r="M42" s="104"/>
      <c r="N42" s="105"/>
      <c r="O42" s="106"/>
      <c r="P42" s="107"/>
      <c r="Q42" s="108"/>
      <c r="R42" s="109"/>
      <c r="S42" s="110"/>
      <c r="T42" s="108"/>
      <c r="U42" s="136"/>
      <c r="V42" s="111"/>
    </row>
    <row r="43" spans="2:22" x14ac:dyDescent="0.4">
      <c r="B43" s="4">
        <f t="shared" si="0"/>
        <v>38</v>
      </c>
      <c r="C43" s="55"/>
      <c r="D43" s="55"/>
      <c r="E43" s="56"/>
      <c r="F43" s="5">
        <f t="shared" si="2"/>
        <v>0</v>
      </c>
      <c r="G43" s="30"/>
      <c r="H43" s="18"/>
      <c r="I43" s="19"/>
      <c r="J43" s="12"/>
      <c r="K43" s="13"/>
      <c r="L43" s="14"/>
      <c r="M43" s="12"/>
      <c r="N43" s="13"/>
      <c r="O43" s="14"/>
      <c r="P43" s="35"/>
      <c r="Q43" s="23"/>
      <c r="R43" s="24"/>
      <c r="S43" s="22"/>
      <c r="T43" s="23"/>
      <c r="U43" s="137"/>
      <c r="V43" s="38"/>
    </row>
    <row r="44" spans="2:22" x14ac:dyDescent="0.4">
      <c r="B44" s="77">
        <f t="shared" si="0"/>
        <v>39</v>
      </c>
      <c r="C44" s="96"/>
      <c r="D44" s="96"/>
      <c r="E44" s="97"/>
      <c r="F44" s="78">
        <f t="shared" si="2"/>
        <v>0</v>
      </c>
      <c r="G44" s="79"/>
      <c r="H44" s="80"/>
      <c r="I44" s="81"/>
      <c r="J44" s="82"/>
      <c r="K44" s="83"/>
      <c r="L44" s="84"/>
      <c r="M44" s="82"/>
      <c r="N44" s="83"/>
      <c r="O44" s="84"/>
      <c r="P44" s="85"/>
      <c r="Q44" s="86"/>
      <c r="R44" s="87"/>
      <c r="S44" s="88"/>
      <c r="T44" s="86"/>
      <c r="U44" s="133"/>
      <c r="V44" s="89"/>
    </row>
    <row r="45" spans="2:22" x14ac:dyDescent="0.4">
      <c r="B45" s="140">
        <f t="shared" si="0"/>
        <v>40</v>
      </c>
      <c r="C45" s="98"/>
      <c r="D45" s="98"/>
      <c r="E45" s="99"/>
      <c r="F45" s="100">
        <f t="shared" si="2"/>
        <v>0</v>
      </c>
      <c r="G45" s="101"/>
      <c r="H45" s="102"/>
      <c r="I45" s="103"/>
      <c r="J45" s="104"/>
      <c r="K45" s="105"/>
      <c r="L45" s="106"/>
      <c r="M45" s="104"/>
      <c r="N45" s="105"/>
      <c r="O45" s="106"/>
      <c r="P45" s="107"/>
      <c r="Q45" s="108"/>
      <c r="R45" s="109"/>
      <c r="S45" s="110"/>
      <c r="T45" s="108"/>
      <c r="U45" s="136"/>
      <c r="V45" s="111"/>
    </row>
    <row r="46" spans="2:22" x14ac:dyDescent="0.4">
      <c r="B46" s="4">
        <f t="shared" ref="B46:B71" si="3">ROW(B46)-5</f>
        <v>41</v>
      </c>
      <c r="C46" s="55"/>
      <c r="D46" s="55"/>
      <c r="E46" s="56"/>
      <c r="F46" s="5">
        <f t="shared" si="2"/>
        <v>0</v>
      </c>
      <c r="G46" s="30"/>
      <c r="H46" s="18"/>
      <c r="I46" s="19"/>
      <c r="J46" s="12"/>
      <c r="K46" s="13"/>
      <c r="L46" s="14"/>
      <c r="M46" s="12"/>
      <c r="N46" s="13"/>
      <c r="O46" s="14"/>
      <c r="P46" s="35"/>
      <c r="Q46" s="23"/>
      <c r="R46" s="24"/>
      <c r="S46" s="22"/>
      <c r="T46" s="23"/>
      <c r="U46" s="137"/>
      <c r="V46" s="38"/>
    </row>
    <row r="47" spans="2:22" x14ac:dyDescent="0.4">
      <c r="B47" s="77">
        <f t="shared" si="3"/>
        <v>42</v>
      </c>
      <c r="C47" s="96"/>
      <c r="D47" s="96"/>
      <c r="E47" s="97"/>
      <c r="F47" s="78"/>
      <c r="G47" s="79"/>
      <c r="H47" s="80"/>
      <c r="I47" s="81"/>
      <c r="J47" s="82"/>
      <c r="K47" s="83"/>
      <c r="L47" s="84"/>
      <c r="M47" s="82"/>
      <c r="N47" s="83"/>
      <c r="O47" s="84"/>
      <c r="P47" s="85"/>
      <c r="Q47" s="86"/>
      <c r="R47" s="87"/>
      <c r="S47" s="88"/>
      <c r="T47" s="86"/>
      <c r="U47" s="133"/>
      <c r="V47" s="89"/>
    </row>
    <row r="48" spans="2:22" x14ac:dyDescent="0.4">
      <c r="B48" s="140">
        <f t="shared" si="3"/>
        <v>43</v>
      </c>
      <c r="C48" s="98"/>
      <c r="D48" s="98"/>
      <c r="E48" s="99"/>
      <c r="F48" s="100"/>
      <c r="G48" s="101"/>
      <c r="H48" s="102"/>
      <c r="I48" s="103"/>
      <c r="J48" s="104"/>
      <c r="K48" s="105"/>
      <c r="L48" s="106"/>
      <c r="M48" s="104"/>
      <c r="N48" s="105"/>
      <c r="O48" s="106"/>
      <c r="P48" s="107"/>
      <c r="Q48" s="108"/>
      <c r="R48" s="109"/>
      <c r="S48" s="110"/>
      <c r="T48" s="108"/>
      <c r="U48" s="136"/>
      <c r="V48" s="111"/>
    </row>
    <row r="49" spans="2:22" x14ac:dyDescent="0.4">
      <c r="B49" s="4">
        <f t="shared" si="3"/>
        <v>44</v>
      </c>
      <c r="C49" s="55"/>
      <c r="D49" s="55"/>
      <c r="E49" s="56"/>
      <c r="F49" s="5"/>
      <c r="G49" s="30"/>
      <c r="H49" s="18"/>
      <c r="I49" s="19"/>
      <c r="J49" s="12"/>
      <c r="K49" s="13"/>
      <c r="L49" s="14"/>
      <c r="M49" s="12"/>
      <c r="N49" s="13"/>
      <c r="O49" s="14"/>
      <c r="P49" s="35"/>
      <c r="Q49" s="23"/>
      <c r="R49" s="24"/>
      <c r="S49" s="22"/>
      <c r="T49" s="23"/>
      <c r="U49" s="137"/>
      <c r="V49" s="38"/>
    </row>
    <row r="50" spans="2:22" x14ac:dyDescent="0.4">
      <c r="B50" s="77">
        <f t="shared" si="3"/>
        <v>45</v>
      </c>
      <c r="C50" s="96"/>
      <c r="D50" s="96"/>
      <c r="E50" s="97"/>
      <c r="F50" s="78"/>
      <c r="G50" s="79"/>
      <c r="H50" s="80"/>
      <c r="I50" s="81"/>
      <c r="J50" s="82"/>
      <c r="K50" s="83"/>
      <c r="L50" s="84"/>
      <c r="M50" s="82"/>
      <c r="N50" s="83"/>
      <c r="O50" s="84"/>
      <c r="P50" s="85"/>
      <c r="Q50" s="86"/>
      <c r="R50" s="87"/>
      <c r="S50" s="88"/>
      <c r="T50" s="86"/>
      <c r="U50" s="133"/>
      <c r="V50" s="89"/>
    </row>
    <row r="51" spans="2:22" x14ac:dyDescent="0.4">
      <c r="B51" s="140">
        <f t="shared" si="3"/>
        <v>46</v>
      </c>
      <c r="C51" s="98"/>
      <c r="D51" s="98"/>
      <c r="E51" s="99"/>
      <c r="F51" s="100"/>
      <c r="G51" s="101"/>
      <c r="H51" s="102"/>
      <c r="I51" s="103"/>
      <c r="J51" s="104"/>
      <c r="K51" s="105"/>
      <c r="L51" s="106"/>
      <c r="M51" s="104"/>
      <c r="N51" s="105"/>
      <c r="O51" s="106"/>
      <c r="P51" s="107"/>
      <c r="Q51" s="108"/>
      <c r="R51" s="109"/>
      <c r="S51" s="110"/>
      <c r="T51" s="108"/>
      <c r="U51" s="136"/>
      <c r="V51" s="111"/>
    </row>
    <row r="52" spans="2:22" x14ac:dyDescent="0.4">
      <c r="B52" s="4">
        <f t="shared" si="3"/>
        <v>47</v>
      </c>
      <c r="C52" s="55"/>
      <c r="D52" s="55"/>
      <c r="E52" s="56"/>
      <c r="F52" s="5"/>
      <c r="G52" s="30"/>
      <c r="H52" s="18"/>
      <c r="I52" s="19"/>
      <c r="J52" s="12"/>
      <c r="K52" s="13"/>
      <c r="L52" s="14"/>
      <c r="M52" s="12"/>
      <c r="N52" s="13"/>
      <c r="O52" s="14"/>
      <c r="P52" s="35"/>
      <c r="Q52" s="23"/>
      <c r="R52" s="24"/>
      <c r="S52" s="22"/>
      <c r="T52" s="23"/>
      <c r="U52" s="137"/>
      <c r="V52" s="38"/>
    </row>
    <row r="53" spans="2:22" x14ac:dyDescent="0.4">
      <c r="B53" s="77">
        <f t="shared" si="3"/>
        <v>48</v>
      </c>
      <c r="C53" s="96"/>
      <c r="D53" s="96"/>
      <c r="E53" s="97"/>
      <c r="F53" s="78"/>
      <c r="G53" s="79"/>
      <c r="H53" s="80"/>
      <c r="I53" s="81"/>
      <c r="J53" s="82"/>
      <c r="K53" s="83"/>
      <c r="L53" s="84"/>
      <c r="M53" s="82"/>
      <c r="N53" s="83"/>
      <c r="O53" s="84"/>
      <c r="P53" s="85"/>
      <c r="Q53" s="86"/>
      <c r="R53" s="87"/>
      <c r="S53" s="88"/>
      <c r="T53" s="86"/>
      <c r="U53" s="133"/>
      <c r="V53" s="89"/>
    </row>
    <row r="54" spans="2:22" x14ac:dyDescent="0.4">
      <c r="B54" s="140">
        <f t="shared" si="3"/>
        <v>49</v>
      </c>
      <c r="C54" s="98"/>
      <c r="D54" s="98"/>
      <c r="E54" s="99"/>
      <c r="F54" s="100"/>
      <c r="G54" s="101"/>
      <c r="H54" s="102"/>
      <c r="I54" s="103"/>
      <c r="J54" s="104"/>
      <c r="K54" s="105"/>
      <c r="L54" s="106"/>
      <c r="M54" s="104"/>
      <c r="N54" s="105"/>
      <c r="O54" s="106"/>
      <c r="P54" s="107"/>
      <c r="Q54" s="108"/>
      <c r="R54" s="109"/>
      <c r="S54" s="110"/>
      <c r="T54" s="108"/>
      <c r="U54" s="136"/>
      <c r="V54" s="111"/>
    </row>
    <row r="55" spans="2:22" x14ac:dyDescent="0.4">
      <c r="B55" s="4">
        <f t="shared" si="3"/>
        <v>50</v>
      </c>
      <c r="C55" s="55"/>
      <c r="D55" s="55"/>
      <c r="E55" s="56"/>
      <c r="F55" s="5"/>
      <c r="G55" s="30"/>
      <c r="H55" s="18"/>
      <c r="I55" s="19"/>
      <c r="J55" s="12"/>
      <c r="K55" s="13"/>
      <c r="L55" s="14"/>
      <c r="M55" s="12"/>
      <c r="N55" s="13"/>
      <c r="O55" s="14"/>
      <c r="P55" s="35"/>
      <c r="Q55" s="23"/>
      <c r="R55" s="24"/>
      <c r="S55" s="22"/>
      <c r="T55" s="23"/>
      <c r="U55" s="137"/>
      <c r="V55" s="38"/>
    </row>
    <row r="56" spans="2:22" x14ac:dyDescent="0.4">
      <c r="B56" s="77">
        <f t="shared" si="3"/>
        <v>51</v>
      </c>
      <c r="C56" s="96"/>
      <c r="D56" s="96"/>
      <c r="E56" s="97"/>
      <c r="F56" s="78"/>
      <c r="G56" s="79"/>
      <c r="H56" s="80"/>
      <c r="I56" s="81"/>
      <c r="J56" s="82"/>
      <c r="K56" s="83"/>
      <c r="L56" s="84"/>
      <c r="M56" s="82"/>
      <c r="N56" s="83"/>
      <c r="O56" s="84"/>
      <c r="P56" s="85"/>
      <c r="Q56" s="86"/>
      <c r="R56" s="87"/>
      <c r="S56" s="88"/>
      <c r="T56" s="86"/>
      <c r="U56" s="133"/>
      <c r="V56" s="89"/>
    </row>
    <row r="57" spans="2:22" x14ac:dyDescent="0.4">
      <c r="B57" s="140">
        <f t="shared" si="3"/>
        <v>52</v>
      </c>
      <c r="C57" s="98"/>
      <c r="D57" s="98"/>
      <c r="E57" s="99"/>
      <c r="F57" s="100"/>
      <c r="G57" s="101"/>
      <c r="H57" s="102"/>
      <c r="I57" s="103"/>
      <c r="J57" s="104"/>
      <c r="K57" s="105"/>
      <c r="L57" s="106"/>
      <c r="M57" s="104"/>
      <c r="N57" s="105"/>
      <c r="O57" s="106"/>
      <c r="P57" s="107"/>
      <c r="Q57" s="108"/>
      <c r="R57" s="109"/>
      <c r="S57" s="110"/>
      <c r="T57" s="108"/>
      <c r="U57" s="136"/>
      <c r="V57" s="111"/>
    </row>
    <row r="58" spans="2:22" x14ac:dyDescent="0.4">
      <c r="B58" s="4">
        <f t="shared" si="3"/>
        <v>53</v>
      </c>
      <c r="C58" s="55"/>
      <c r="D58" s="55"/>
      <c r="E58" s="56"/>
      <c r="F58" s="5"/>
      <c r="G58" s="30"/>
      <c r="H58" s="18"/>
      <c r="I58" s="19"/>
      <c r="J58" s="12"/>
      <c r="K58" s="13"/>
      <c r="L58" s="14"/>
      <c r="M58" s="12"/>
      <c r="N58" s="13"/>
      <c r="O58" s="14"/>
      <c r="P58" s="35"/>
      <c r="Q58" s="23"/>
      <c r="R58" s="24"/>
      <c r="S58" s="22"/>
      <c r="T58" s="23"/>
      <c r="U58" s="137"/>
      <c r="V58" s="38"/>
    </row>
    <row r="59" spans="2:22" x14ac:dyDescent="0.4">
      <c r="B59" s="77">
        <f t="shared" si="3"/>
        <v>54</v>
      </c>
      <c r="C59" s="96"/>
      <c r="D59" s="96"/>
      <c r="E59" s="97"/>
      <c r="F59" s="78"/>
      <c r="G59" s="79"/>
      <c r="H59" s="80"/>
      <c r="I59" s="81"/>
      <c r="J59" s="82"/>
      <c r="K59" s="83"/>
      <c r="L59" s="84"/>
      <c r="M59" s="82"/>
      <c r="N59" s="83"/>
      <c r="O59" s="84"/>
      <c r="P59" s="85"/>
      <c r="Q59" s="86"/>
      <c r="R59" s="87"/>
      <c r="S59" s="88"/>
      <c r="T59" s="86"/>
      <c r="U59" s="133"/>
      <c r="V59" s="89"/>
    </row>
    <row r="60" spans="2:22" x14ac:dyDescent="0.4">
      <c r="B60" s="140">
        <f t="shared" si="3"/>
        <v>55</v>
      </c>
      <c r="C60" s="98"/>
      <c r="D60" s="98"/>
      <c r="E60" s="99"/>
      <c r="F60" s="100"/>
      <c r="G60" s="101"/>
      <c r="H60" s="102"/>
      <c r="I60" s="103"/>
      <c r="J60" s="104"/>
      <c r="K60" s="105"/>
      <c r="L60" s="106"/>
      <c r="M60" s="104"/>
      <c r="N60" s="105"/>
      <c r="O60" s="106"/>
      <c r="P60" s="107"/>
      <c r="Q60" s="108"/>
      <c r="R60" s="109"/>
      <c r="S60" s="110"/>
      <c r="T60" s="108"/>
      <c r="U60" s="136"/>
      <c r="V60" s="111"/>
    </row>
    <row r="61" spans="2:22" x14ac:dyDescent="0.4">
      <c r="B61" s="4">
        <f t="shared" si="3"/>
        <v>56</v>
      </c>
      <c r="C61" s="55"/>
      <c r="D61" s="55"/>
      <c r="E61" s="56"/>
      <c r="F61" s="5"/>
      <c r="G61" s="30"/>
      <c r="H61" s="18"/>
      <c r="I61" s="19"/>
      <c r="J61" s="12"/>
      <c r="K61" s="13"/>
      <c r="L61" s="14"/>
      <c r="M61" s="12"/>
      <c r="N61" s="13"/>
      <c r="O61" s="14"/>
      <c r="P61" s="35"/>
      <c r="Q61" s="23"/>
      <c r="R61" s="24"/>
      <c r="S61" s="22"/>
      <c r="T61" s="23"/>
      <c r="U61" s="137"/>
      <c r="V61" s="38"/>
    </row>
    <row r="62" spans="2:22" x14ac:dyDescent="0.4">
      <c r="B62" s="77">
        <f t="shared" si="3"/>
        <v>57</v>
      </c>
      <c r="C62" s="96"/>
      <c r="D62" s="96"/>
      <c r="E62" s="97"/>
      <c r="F62" s="78"/>
      <c r="G62" s="79"/>
      <c r="H62" s="80"/>
      <c r="I62" s="81"/>
      <c r="J62" s="82"/>
      <c r="K62" s="83"/>
      <c r="L62" s="84"/>
      <c r="M62" s="82"/>
      <c r="N62" s="83"/>
      <c r="O62" s="84"/>
      <c r="P62" s="85"/>
      <c r="Q62" s="86"/>
      <c r="R62" s="87"/>
      <c r="S62" s="88"/>
      <c r="T62" s="86"/>
      <c r="U62" s="133"/>
      <c r="V62" s="89"/>
    </row>
    <row r="63" spans="2:22" x14ac:dyDescent="0.4">
      <c r="B63" s="140">
        <f t="shared" si="3"/>
        <v>58</v>
      </c>
      <c r="C63" s="98"/>
      <c r="D63" s="98"/>
      <c r="E63" s="99"/>
      <c r="F63" s="100"/>
      <c r="G63" s="101"/>
      <c r="H63" s="102"/>
      <c r="I63" s="103"/>
      <c r="J63" s="104"/>
      <c r="K63" s="105"/>
      <c r="L63" s="106"/>
      <c r="M63" s="104"/>
      <c r="N63" s="105"/>
      <c r="O63" s="106"/>
      <c r="P63" s="107"/>
      <c r="Q63" s="108"/>
      <c r="R63" s="109"/>
      <c r="S63" s="110"/>
      <c r="T63" s="108"/>
      <c r="U63" s="136"/>
      <c r="V63" s="111"/>
    </row>
    <row r="64" spans="2:22" x14ac:dyDescent="0.4">
      <c r="B64" s="4">
        <f t="shared" si="3"/>
        <v>59</v>
      </c>
      <c r="C64" s="55"/>
      <c r="D64" s="55"/>
      <c r="E64" s="56"/>
      <c r="F64" s="5"/>
      <c r="G64" s="30"/>
      <c r="H64" s="18"/>
      <c r="I64" s="19"/>
      <c r="J64" s="12"/>
      <c r="K64" s="13"/>
      <c r="L64" s="14"/>
      <c r="M64" s="12"/>
      <c r="N64" s="13"/>
      <c r="O64" s="14"/>
      <c r="P64" s="35"/>
      <c r="Q64" s="23"/>
      <c r="R64" s="24"/>
      <c r="S64" s="22"/>
      <c r="T64" s="23"/>
      <c r="U64" s="137"/>
      <c r="V64" s="38"/>
    </row>
    <row r="65" spans="2:22" x14ac:dyDescent="0.4">
      <c r="B65" s="77">
        <f t="shared" si="3"/>
        <v>60</v>
      </c>
      <c r="C65" s="96"/>
      <c r="D65" s="96"/>
      <c r="E65" s="97"/>
      <c r="F65" s="78"/>
      <c r="G65" s="79"/>
      <c r="H65" s="80"/>
      <c r="I65" s="81"/>
      <c r="J65" s="82"/>
      <c r="K65" s="83"/>
      <c r="L65" s="84"/>
      <c r="M65" s="82"/>
      <c r="N65" s="83"/>
      <c r="O65" s="84"/>
      <c r="P65" s="85"/>
      <c r="Q65" s="86"/>
      <c r="R65" s="87"/>
      <c r="S65" s="88"/>
      <c r="T65" s="86"/>
      <c r="U65" s="133"/>
      <c r="V65" s="89"/>
    </row>
    <row r="66" spans="2:22" x14ac:dyDescent="0.4">
      <c r="B66" s="140">
        <f t="shared" si="3"/>
        <v>61</v>
      </c>
      <c r="C66" s="98"/>
      <c r="D66" s="98"/>
      <c r="E66" s="99"/>
      <c r="F66" s="100"/>
      <c r="G66" s="101"/>
      <c r="H66" s="102"/>
      <c r="I66" s="103"/>
      <c r="J66" s="104"/>
      <c r="K66" s="105"/>
      <c r="L66" s="106"/>
      <c r="M66" s="104"/>
      <c r="N66" s="105"/>
      <c r="O66" s="106"/>
      <c r="P66" s="107"/>
      <c r="Q66" s="108"/>
      <c r="R66" s="109"/>
      <c r="S66" s="110"/>
      <c r="T66" s="108"/>
      <c r="U66" s="136"/>
      <c r="V66" s="111"/>
    </row>
    <row r="67" spans="2:22" x14ac:dyDescent="0.4">
      <c r="B67" s="4">
        <f t="shared" si="3"/>
        <v>62</v>
      </c>
      <c r="C67" s="55"/>
      <c r="D67" s="55"/>
      <c r="E67" s="56"/>
      <c r="F67" s="5"/>
      <c r="G67" s="30"/>
      <c r="H67" s="18"/>
      <c r="I67" s="19"/>
      <c r="J67" s="12"/>
      <c r="K67" s="13"/>
      <c r="L67" s="14"/>
      <c r="M67" s="12"/>
      <c r="N67" s="13"/>
      <c r="O67" s="14"/>
      <c r="P67" s="35"/>
      <c r="Q67" s="23"/>
      <c r="R67" s="24"/>
      <c r="S67" s="22"/>
      <c r="T67" s="23"/>
      <c r="U67" s="137"/>
      <c r="V67" s="38"/>
    </row>
    <row r="68" spans="2:22" x14ac:dyDescent="0.4">
      <c r="B68" s="77">
        <f t="shared" si="3"/>
        <v>63</v>
      </c>
      <c r="C68" s="96"/>
      <c r="D68" s="96"/>
      <c r="E68" s="97"/>
      <c r="F68" s="78"/>
      <c r="G68" s="79"/>
      <c r="H68" s="80"/>
      <c r="I68" s="81"/>
      <c r="J68" s="82"/>
      <c r="K68" s="83"/>
      <c r="L68" s="84"/>
      <c r="M68" s="82"/>
      <c r="N68" s="83"/>
      <c r="O68" s="84"/>
      <c r="P68" s="85"/>
      <c r="Q68" s="86"/>
      <c r="R68" s="87"/>
      <c r="S68" s="88"/>
      <c r="T68" s="86"/>
      <c r="U68" s="133"/>
      <c r="V68" s="89"/>
    </row>
    <row r="69" spans="2:22" x14ac:dyDescent="0.4">
      <c r="B69" s="140">
        <f t="shared" si="3"/>
        <v>64</v>
      </c>
      <c r="C69" s="98"/>
      <c r="D69" s="98"/>
      <c r="E69" s="99"/>
      <c r="F69" s="100"/>
      <c r="G69" s="101"/>
      <c r="H69" s="102"/>
      <c r="I69" s="103"/>
      <c r="J69" s="104"/>
      <c r="K69" s="105"/>
      <c r="L69" s="106"/>
      <c r="M69" s="104"/>
      <c r="N69" s="105"/>
      <c r="O69" s="106"/>
      <c r="P69" s="107"/>
      <c r="Q69" s="108"/>
      <c r="R69" s="109"/>
      <c r="S69" s="110"/>
      <c r="T69" s="108"/>
      <c r="U69" s="136"/>
      <c r="V69" s="111"/>
    </row>
    <row r="70" spans="2:22" x14ac:dyDescent="0.4">
      <c r="B70" s="4">
        <f t="shared" si="3"/>
        <v>65</v>
      </c>
      <c r="C70" s="55"/>
      <c r="D70" s="55"/>
      <c r="E70" s="56"/>
      <c r="F70" s="5"/>
      <c r="G70" s="30"/>
      <c r="H70" s="18"/>
      <c r="I70" s="19"/>
      <c r="J70" s="12"/>
      <c r="K70" s="13"/>
      <c r="L70" s="14"/>
      <c r="M70" s="12"/>
      <c r="N70" s="13"/>
      <c r="O70" s="14"/>
      <c r="P70" s="35"/>
      <c r="Q70" s="23"/>
      <c r="R70" s="24"/>
      <c r="S70" s="22"/>
      <c r="T70" s="23"/>
      <c r="U70" s="137"/>
      <c r="V70" s="38"/>
    </row>
    <row r="71" spans="2:22" x14ac:dyDescent="0.4">
      <c r="B71" s="77">
        <f t="shared" si="3"/>
        <v>66</v>
      </c>
      <c r="C71" s="96"/>
      <c r="D71" s="96"/>
      <c r="E71" s="97"/>
      <c r="F71" s="78"/>
      <c r="G71" s="79"/>
      <c r="H71" s="80"/>
      <c r="I71" s="81"/>
      <c r="J71" s="82"/>
      <c r="K71" s="83"/>
      <c r="L71" s="84"/>
      <c r="M71" s="82"/>
      <c r="N71" s="83"/>
      <c r="O71" s="84"/>
      <c r="P71" s="85"/>
      <c r="Q71" s="86"/>
      <c r="R71" s="87"/>
      <c r="S71" s="88"/>
      <c r="T71" s="86"/>
      <c r="U71" s="133"/>
      <c r="V71" s="89"/>
    </row>
    <row r="72" spans="2:22" x14ac:dyDescent="0.4">
      <c r="B72" s="140"/>
      <c r="C72" s="98"/>
      <c r="D72" s="98"/>
      <c r="E72" s="99"/>
      <c r="F72" s="100"/>
      <c r="G72" s="101"/>
      <c r="H72" s="102"/>
      <c r="I72" s="103"/>
      <c r="J72" s="104"/>
      <c r="K72" s="105"/>
      <c r="L72" s="106"/>
      <c r="M72" s="104"/>
      <c r="N72" s="105"/>
      <c r="O72" s="106"/>
      <c r="P72" s="107"/>
      <c r="Q72" s="108"/>
      <c r="R72" s="109"/>
      <c r="S72" s="110"/>
      <c r="T72" s="108"/>
      <c r="U72" s="136"/>
      <c r="V72" s="111"/>
    </row>
    <row r="73" spans="2:22" x14ac:dyDescent="0.4">
      <c r="B73" s="4"/>
      <c r="C73" s="55"/>
      <c r="D73" s="55"/>
      <c r="E73" s="56"/>
      <c r="F73" s="5"/>
      <c r="G73" s="30"/>
      <c r="H73" s="18"/>
      <c r="I73" s="19"/>
      <c r="J73" s="12"/>
      <c r="K73" s="13"/>
      <c r="L73" s="14"/>
      <c r="M73" s="12"/>
      <c r="N73" s="13"/>
      <c r="O73" s="14"/>
      <c r="P73" s="35"/>
      <c r="Q73" s="23"/>
      <c r="R73" s="24"/>
      <c r="S73" s="22"/>
      <c r="T73" s="23"/>
      <c r="U73" s="137"/>
      <c r="V73" s="38"/>
    </row>
    <row r="74" spans="2:22" x14ac:dyDescent="0.4">
      <c r="B74" s="77"/>
      <c r="C74" s="96"/>
      <c r="D74" s="96"/>
      <c r="E74" s="97"/>
      <c r="F74" s="78"/>
      <c r="G74" s="79"/>
      <c r="H74" s="80"/>
      <c r="I74" s="81"/>
      <c r="J74" s="82"/>
      <c r="K74" s="83"/>
      <c r="L74" s="84"/>
      <c r="M74" s="82"/>
      <c r="N74" s="83"/>
      <c r="O74" s="84"/>
      <c r="P74" s="85"/>
      <c r="Q74" s="86"/>
      <c r="R74" s="87"/>
      <c r="S74" s="88"/>
      <c r="T74" s="86"/>
      <c r="U74" s="133"/>
      <c r="V74" s="89"/>
    </row>
    <row r="75" spans="2:22" x14ac:dyDescent="0.4">
      <c r="B75" s="140"/>
      <c r="C75" s="98"/>
      <c r="D75" s="98"/>
      <c r="E75" s="99"/>
      <c r="F75" s="100"/>
      <c r="G75" s="101"/>
      <c r="H75" s="102"/>
      <c r="I75" s="103"/>
      <c r="J75" s="104"/>
      <c r="K75" s="105"/>
      <c r="L75" s="106"/>
      <c r="M75" s="104"/>
      <c r="N75" s="105"/>
      <c r="O75" s="106"/>
      <c r="P75" s="107"/>
      <c r="Q75" s="108"/>
      <c r="R75" s="109"/>
      <c r="S75" s="110"/>
      <c r="T75" s="108"/>
      <c r="U75" s="136"/>
      <c r="V75" s="111"/>
    </row>
    <row r="76" spans="2:22" x14ac:dyDescent="0.4">
      <c r="B76" s="4"/>
      <c r="C76" s="55"/>
      <c r="D76" s="55"/>
      <c r="E76" s="56"/>
      <c r="F76" s="5"/>
      <c r="G76" s="30"/>
      <c r="H76" s="18"/>
      <c r="I76" s="19"/>
      <c r="J76" s="12"/>
      <c r="K76" s="13"/>
      <c r="L76" s="14"/>
      <c r="M76" s="12"/>
      <c r="N76" s="13"/>
      <c r="O76" s="14"/>
      <c r="P76" s="35"/>
      <c r="Q76" s="23"/>
      <c r="R76" s="24"/>
      <c r="S76" s="22"/>
      <c r="T76" s="23"/>
      <c r="U76" s="137"/>
      <c r="V76" s="38"/>
    </row>
    <row r="77" spans="2:22" x14ac:dyDescent="0.4">
      <c r="B77" s="77"/>
      <c r="C77" s="96"/>
      <c r="D77" s="96"/>
      <c r="E77" s="97"/>
      <c r="F77" s="78"/>
      <c r="G77" s="79"/>
      <c r="H77" s="80"/>
      <c r="I77" s="81"/>
      <c r="J77" s="82"/>
      <c r="K77" s="83"/>
      <c r="L77" s="84"/>
      <c r="M77" s="82"/>
      <c r="N77" s="83"/>
      <c r="O77" s="84"/>
      <c r="P77" s="85"/>
      <c r="Q77" s="86"/>
      <c r="R77" s="87"/>
      <c r="S77" s="88"/>
      <c r="T77" s="86"/>
      <c r="U77" s="133"/>
      <c r="V77" s="89"/>
    </row>
    <row r="78" spans="2:22" x14ac:dyDescent="0.4">
      <c r="B78" s="140"/>
      <c r="C78" s="98"/>
      <c r="D78" s="98"/>
      <c r="E78" s="99"/>
      <c r="F78" s="100"/>
      <c r="G78" s="101"/>
      <c r="H78" s="102"/>
      <c r="I78" s="103"/>
      <c r="J78" s="104"/>
      <c r="K78" s="105"/>
      <c r="L78" s="106"/>
      <c r="M78" s="104"/>
      <c r="N78" s="105"/>
      <c r="O78" s="106"/>
      <c r="P78" s="107"/>
      <c r="Q78" s="108"/>
      <c r="R78" s="109"/>
      <c r="S78" s="110"/>
      <c r="T78" s="108"/>
      <c r="U78" s="136"/>
      <c r="V78" s="111"/>
    </row>
    <row r="79" spans="2:22" x14ac:dyDescent="0.4">
      <c r="B79" s="4"/>
      <c r="C79" s="55"/>
      <c r="D79" s="55"/>
      <c r="E79" s="56"/>
      <c r="F79" s="5"/>
      <c r="G79" s="30"/>
      <c r="H79" s="18"/>
      <c r="I79" s="19"/>
      <c r="J79" s="12"/>
      <c r="K79" s="13"/>
      <c r="L79" s="14"/>
      <c r="M79" s="12"/>
      <c r="N79" s="13"/>
      <c r="O79" s="14"/>
      <c r="P79" s="35"/>
      <c r="Q79" s="23"/>
      <c r="R79" s="24"/>
      <c r="S79" s="22"/>
      <c r="T79" s="23"/>
      <c r="U79" s="137"/>
      <c r="V79" s="38"/>
    </row>
    <row r="80" spans="2:22" x14ac:dyDescent="0.4">
      <c r="B80" s="77"/>
      <c r="C80" s="96"/>
      <c r="D80" s="96"/>
      <c r="E80" s="97"/>
      <c r="F80" s="78"/>
      <c r="G80" s="79"/>
      <c r="H80" s="80"/>
      <c r="I80" s="81"/>
      <c r="J80" s="82"/>
      <c r="K80" s="83"/>
      <c r="L80" s="84"/>
      <c r="M80" s="82"/>
      <c r="N80" s="83"/>
      <c r="O80" s="84"/>
      <c r="P80" s="85"/>
      <c r="Q80" s="86"/>
      <c r="R80" s="87"/>
      <c r="S80" s="88"/>
      <c r="T80" s="86"/>
      <c r="U80" s="133"/>
      <c r="V80" s="89"/>
    </row>
    <row r="81" spans="2:22" x14ac:dyDescent="0.4">
      <c r="B81" s="140"/>
      <c r="C81" s="98"/>
      <c r="D81" s="98"/>
      <c r="E81" s="99"/>
      <c r="F81" s="100"/>
      <c r="G81" s="101"/>
      <c r="H81" s="102"/>
      <c r="I81" s="103"/>
      <c r="J81" s="104"/>
      <c r="K81" s="105"/>
      <c r="L81" s="106"/>
      <c r="M81" s="104"/>
      <c r="N81" s="105"/>
      <c r="O81" s="106"/>
      <c r="P81" s="107"/>
      <c r="Q81" s="108"/>
      <c r="R81" s="109"/>
      <c r="S81" s="110"/>
      <c r="T81" s="108"/>
      <c r="U81" s="136"/>
      <c r="V81" s="111"/>
    </row>
    <row r="82" spans="2:22" x14ac:dyDescent="0.4">
      <c r="B82" s="4"/>
      <c r="C82" s="55"/>
      <c r="D82" s="55"/>
      <c r="E82" s="56"/>
      <c r="F82" s="5"/>
      <c r="G82" s="30"/>
      <c r="H82" s="18"/>
      <c r="I82" s="19"/>
      <c r="J82" s="12"/>
      <c r="K82" s="13"/>
      <c r="L82" s="14"/>
      <c r="M82" s="12"/>
      <c r="N82" s="13"/>
      <c r="O82" s="14"/>
      <c r="P82" s="35"/>
      <c r="Q82" s="23"/>
      <c r="R82" s="24"/>
      <c r="S82" s="22"/>
      <c r="T82" s="23"/>
      <c r="U82" s="137"/>
      <c r="V82" s="38"/>
    </row>
    <row r="83" spans="2:22" x14ac:dyDescent="0.4">
      <c r="B83" s="77"/>
      <c r="C83" s="96"/>
      <c r="D83" s="96"/>
      <c r="E83" s="97"/>
      <c r="F83" s="78"/>
      <c r="G83" s="79"/>
      <c r="H83" s="80"/>
      <c r="I83" s="81"/>
      <c r="J83" s="82"/>
      <c r="K83" s="83"/>
      <c r="L83" s="84"/>
      <c r="M83" s="82"/>
      <c r="N83" s="83"/>
      <c r="O83" s="84"/>
      <c r="P83" s="85"/>
      <c r="Q83" s="86"/>
      <c r="R83" s="87"/>
      <c r="S83" s="88"/>
      <c r="T83" s="86"/>
      <c r="U83" s="133"/>
      <c r="V83" s="89"/>
    </row>
    <row r="84" spans="2:22" x14ac:dyDescent="0.4">
      <c r="B84" s="140"/>
      <c r="C84" s="98"/>
      <c r="D84" s="98"/>
      <c r="E84" s="99"/>
      <c r="F84" s="100"/>
      <c r="G84" s="101"/>
      <c r="H84" s="102"/>
      <c r="I84" s="103"/>
      <c r="J84" s="104"/>
      <c r="K84" s="105"/>
      <c r="L84" s="106"/>
      <c r="M84" s="104"/>
      <c r="N84" s="105"/>
      <c r="O84" s="106"/>
      <c r="P84" s="107"/>
      <c r="Q84" s="108"/>
      <c r="R84" s="109"/>
      <c r="S84" s="110"/>
      <c r="T84" s="108"/>
      <c r="U84" s="136"/>
      <c r="V84" s="111"/>
    </row>
    <row r="85" spans="2:22" x14ac:dyDescent="0.4">
      <c r="B85" s="4"/>
      <c r="C85" s="55"/>
      <c r="D85" s="55"/>
      <c r="E85" s="56"/>
      <c r="F85" s="5"/>
      <c r="G85" s="30"/>
      <c r="H85" s="18"/>
      <c r="I85" s="19"/>
      <c r="J85" s="12"/>
      <c r="K85" s="13"/>
      <c r="L85" s="14"/>
      <c r="M85" s="12"/>
      <c r="N85" s="13"/>
      <c r="O85" s="14"/>
      <c r="P85" s="35"/>
      <c r="Q85" s="23"/>
      <c r="R85" s="24"/>
      <c r="S85" s="22"/>
      <c r="T85" s="23"/>
      <c r="U85" s="137"/>
      <c r="V85" s="38"/>
    </row>
    <row r="86" spans="2:22" x14ac:dyDescent="0.4">
      <c r="B86" s="77"/>
      <c r="C86" s="96"/>
      <c r="D86" s="96"/>
      <c r="E86" s="97"/>
      <c r="F86" s="78"/>
      <c r="G86" s="79"/>
      <c r="H86" s="80"/>
      <c r="I86" s="81"/>
      <c r="J86" s="82"/>
      <c r="K86" s="83"/>
      <c r="L86" s="84"/>
      <c r="M86" s="82"/>
      <c r="N86" s="83"/>
      <c r="O86" s="84"/>
      <c r="P86" s="85"/>
      <c r="Q86" s="86"/>
      <c r="R86" s="87"/>
      <c r="S86" s="88"/>
      <c r="T86" s="86"/>
      <c r="U86" s="133"/>
      <c r="V86" s="89"/>
    </row>
    <row r="87" spans="2:22" x14ac:dyDescent="0.4">
      <c r="B87" s="140"/>
      <c r="C87" s="98"/>
      <c r="D87" s="98"/>
      <c r="E87" s="99"/>
      <c r="F87" s="100"/>
      <c r="G87" s="101"/>
      <c r="H87" s="102"/>
      <c r="I87" s="103"/>
      <c r="J87" s="104"/>
      <c r="K87" s="105"/>
      <c r="L87" s="106"/>
      <c r="M87" s="104"/>
      <c r="N87" s="105"/>
      <c r="O87" s="106"/>
      <c r="P87" s="107"/>
      <c r="Q87" s="108"/>
      <c r="R87" s="109"/>
      <c r="S87" s="110"/>
      <c r="T87" s="108"/>
      <c r="U87" s="136"/>
      <c r="V87" s="111"/>
    </row>
    <row r="88" spans="2:22" x14ac:dyDescent="0.4">
      <c r="B88" s="4"/>
      <c r="C88" s="55"/>
      <c r="D88" s="55"/>
      <c r="E88" s="56"/>
      <c r="F88" s="5"/>
      <c r="G88" s="30"/>
      <c r="H88" s="18"/>
      <c r="I88" s="19"/>
      <c r="J88" s="12"/>
      <c r="K88" s="13"/>
      <c r="L88" s="14"/>
      <c r="M88" s="12"/>
      <c r="N88" s="13"/>
      <c r="O88" s="14"/>
      <c r="P88" s="35"/>
      <c r="Q88" s="23"/>
      <c r="R88" s="24"/>
      <c r="S88" s="22"/>
      <c r="T88" s="23"/>
      <c r="U88" s="137"/>
      <c r="V88" s="38"/>
    </row>
    <row r="89" spans="2:22" x14ac:dyDescent="0.4">
      <c r="B89" s="77"/>
      <c r="C89" s="96"/>
      <c r="D89" s="96"/>
      <c r="E89" s="97"/>
      <c r="F89" s="78"/>
      <c r="G89" s="79"/>
      <c r="H89" s="80"/>
      <c r="I89" s="81"/>
      <c r="J89" s="82"/>
      <c r="K89" s="83"/>
      <c r="L89" s="84"/>
      <c r="M89" s="82"/>
      <c r="N89" s="83"/>
      <c r="O89" s="84"/>
      <c r="P89" s="85"/>
      <c r="Q89" s="86"/>
      <c r="R89" s="87"/>
      <c r="S89" s="88"/>
      <c r="T89" s="86"/>
      <c r="U89" s="133"/>
      <c r="V89" s="89"/>
    </row>
    <row r="90" spans="2:22" x14ac:dyDescent="0.4">
      <c r="B90" s="140"/>
      <c r="C90" s="98"/>
      <c r="D90" s="98"/>
      <c r="E90" s="99"/>
      <c r="F90" s="100"/>
      <c r="G90" s="101"/>
      <c r="H90" s="102"/>
      <c r="I90" s="103"/>
      <c r="J90" s="104"/>
      <c r="K90" s="105"/>
      <c r="L90" s="106"/>
      <c r="M90" s="104"/>
      <c r="N90" s="105"/>
      <c r="O90" s="106"/>
      <c r="P90" s="107"/>
      <c r="Q90" s="108"/>
      <c r="R90" s="109"/>
      <c r="S90" s="110"/>
      <c r="T90" s="108"/>
      <c r="U90" s="136"/>
      <c r="V90" s="111"/>
    </row>
    <row r="91" spans="2:22" x14ac:dyDescent="0.4">
      <c r="B91" s="4"/>
      <c r="C91" s="55"/>
      <c r="D91" s="55"/>
      <c r="E91" s="56"/>
      <c r="F91" s="5"/>
      <c r="G91" s="30"/>
      <c r="H91" s="18"/>
      <c r="I91" s="19"/>
      <c r="J91" s="12"/>
      <c r="K91" s="13"/>
      <c r="L91" s="14"/>
      <c r="M91" s="12"/>
      <c r="N91" s="13"/>
      <c r="O91" s="14"/>
      <c r="P91" s="35"/>
      <c r="Q91" s="23"/>
      <c r="R91" s="24"/>
      <c r="S91" s="22"/>
      <c r="T91" s="23"/>
      <c r="U91" s="137"/>
      <c r="V91" s="38"/>
    </row>
    <row r="92" spans="2:22" x14ac:dyDescent="0.4">
      <c r="B92" s="77"/>
      <c r="C92" s="96"/>
      <c r="D92" s="96"/>
      <c r="E92" s="97"/>
      <c r="F92" s="78"/>
      <c r="G92" s="79"/>
      <c r="H92" s="80"/>
      <c r="I92" s="81"/>
      <c r="J92" s="82"/>
      <c r="K92" s="83"/>
      <c r="L92" s="84"/>
      <c r="M92" s="82"/>
      <c r="N92" s="83"/>
      <c r="O92" s="84"/>
      <c r="P92" s="85"/>
      <c r="Q92" s="86"/>
      <c r="R92" s="87"/>
      <c r="S92" s="88"/>
      <c r="T92" s="86"/>
      <c r="U92" s="133"/>
      <c r="V92" s="89"/>
    </row>
    <row r="93" spans="2:22" x14ac:dyDescent="0.4">
      <c r="B93" s="140"/>
      <c r="C93" s="98"/>
      <c r="D93" s="98"/>
      <c r="E93" s="99"/>
      <c r="F93" s="100"/>
      <c r="G93" s="101"/>
      <c r="H93" s="102"/>
      <c r="I93" s="103"/>
      <c r="J93" s="104"/>
      <c r="K93" s="105"/>
      <c r="L93" s="106"/>
      <c r="M93" s="104"/>
      <c r="N93" s="105"/>
      <c r="O93" s="106"/>
      <c r="P93" s="107"/>
      <c r="Q93" s="108"/>
      <c r="R93" s="109"/>
      <c r="S93" s="110"/>
      <c r="T93" s="108"/>
      <c r="U93" s="136"/>
      <c r="V93" s="111"/>
    </row>
    <row r="94" spans="2:22" x14ac:dyDescent="0.4">
      <c r="B94" s="4"/>
      <c r="C94" s="55"/>
      <c r="D94" s="55"/>
      <c r="E94" s="56"/>
      <c r="F94" s="5"/>
      <c r="G94" s="30"/>
      <c r="H94" s="18"/>
      <c r="I94" s="19"/>
      <c r="J94" s="12"/>
      <c r="K94" s="13"/>
      <c r="L94" s="14"/>
      <c r="M94" s="12"/>
      <c r="N94" s="13"/>
      <c r="O94" s="14"/>
      <c r="P94" s="35"/>
      <c r="Q94" s="23"/>
      <c r="R94" s="24"/>
      <c r="S94" s="22"/>
      <c r="T94" s="23"/>
      <c r="U94" s="137"/>
      <c r="V94" s="38"/>
    </row>
    <row r="95" spans="2:22" x14ac:dyDescent="0.4">
      <c r="B95" s="77"/>
      <c r="C95" s="96"/>
      <c r="D95" s="96"/>
      <c r="E95" s="97"/>
      <c r="F95" s="78"/>
      <c r="G95" s="79"/>
      <c r="H95" s="80"/>
      <c r="I95" s="81"/>
      <c r="J95" s="82"/>
      <c r="K95" s="83"/>
      <c r="L95" s="84"/>
      <c r="M95" s="82"/>
      <c r="N95" s="83"/>
      <c r="O95" s="84"/>
      <c r="P95" s="85"/>
      <c r="Q95" s="86"/>
      <c r="R95" s="87"/>
      <c r="S95" s="88"/>
      <c r="T95" s="86"/>
      <c r="U95" s="133"/>
      <c r="V95" s="89"/>
    </row>
    <row r="96" spans="2:22" x14ac:dyDescent="0.4">
      <c r="B96" s="140"/>
      <c r="C96" s="98"/>
      <c r="D96" s="98"/>
      <c r="E96" s="99"/>
      <c r="F96" s="100"/>
      <c r="G96" s="101"/>
      <c r="H96" s="102"/>
      <c r="I96" s="103"/>
      <c r="J96" s="104"/>
      <c r="K96" s="105"/>
      <c r="L96" s="106"/>
      <c r="M96" s="104"/>
      <c r="N96" s="105"/>
      <c r="O96" s="106"/>
      <c r="P96" s="107"/>
      <c r="Q96" s="108"/>
      <c r="R96" s="109"/>
      <c r="S96" s="110"/>
      <c r="T96" s="108"/>
      <c r="U96" s="136"/>
      <c r="V96" s="111"/>
    </row>
    <row r="97" spans="2:22" x14ac:dyDescent="0.4">
      <c r="B97" s="4"/>
      <c r="C97" s="55"/>
      <c r="D97" s="55"/>
      <c r="E97" s="56"/>
      <c r="F97" s="5"/>
      <c r="G97" s="30"/>
      <c r="H97" s="18"/>
      <c r="I97" s="19"/>
      <c r="J97" s="12"/>
      <c r="K97" s="13"/>
      <c r="L97" s="14"/>
      <c r="M97" s="12"/>
      <c r="N97" s="13"/>
      <c r="O97" s="14"/>
      <c r="P97" s="35"/>
      <c r="Q97" s="23"/>
      <c r="R97" s="24"/>
      <c r="S97" s="22"/>
      <c r="T97" s="23"/>
      <c r="U97" s="137"/>
      <c r="V97" s="38"/>
    </row>
    <row r="98" spans="2:22" x14ac:dyDescent="0.4">
      <c r="B98" s="77"/>
      <c r="C98" s="96"/>
      <c r="D98" s="96"/>
      <c r="E98" s="97"/>
      <c r="F98" s="78"/>
      <c r="G98" s="79"/>
      <c r="H98" s="80"/>
      <c r="I98" s="81"/>
      <c r="J98" s="82"/>
      <c r="K98" s="83"/>
      <c r="L98" s="84"/>
      <c r="M98" s="82"/>
      <c r="N98" s="83"/>
      <c r="O98" s="84"/>
      <c r="P98" s="85"/>
      <c r="Q98" s="86"/>
      <c r="R98" s="87"/>
      <c r="S98" s="88"/>
      <c r="T98" s="86"/>
      <c r="U98" s="133"/>
      <c r="V98" s="89"/>
    </row>
    <row r="99" spans="2:22" x14ac:dyDescent="0.4">
      <c r="B99" s="140"/>
      <c r="C99" s="98"/>
      <c r="D99" s="98"/>
      <c r="E99" s="99"/>
      <c r="F99" s="100"/>
      <c r="G99" s="101"/>
      <c r="H99" s="102"/>
      <c r="I99" s="103"/>
      <c r="J99" s="104"/>
      <c r="K99" s="105"/>
      <c r="L99" s="106"/>
      <c r="M99" s="104"/>
      <c r="N99" s="105"/>
      <c r="O99" s="106"/>
      <c r="P99" s="107"/>
      <c r="Q99" s="108"/>
      <c r="R99" s="109"/>
      <c r="S99" s="110"/>
      <c r="T99" s="108"/>
      <c r="U99" s="136"/>
      <c r="V99" s="111"/>
    </row>
    <row r="100" spans="2:22" x14ac:dyDescent="0.4">
      <c r="B100" s="4"/>
      <c r="C100" s="55"/>
      <c r="D100" s="55"/>
      <c r="E100" s="56"/>
      <c r="F100" s="5"/>
      <c r="G100" s="30"/>
      <c r="H100" s="18"/>
      <c r="I100" s="19"/>
      <c r="J100" s="12"/>
      <c r="K100" s="13"/>
      <c r="L100" s="14"/>
      <c r="M100" s="12"/>
      <c r="N100" s="13"/>
      <c r="O100" s="14"/>
      <c r="P100" s="35"/>
      <c r="Q100" s="23"/>
      <c r="R100" s="24"/>
      <c r="S100" s="22"/>
      <c r="T100" s="23"/>
      <c r="U100" s="137"/>
      <c r="V100" s="38"/>
    </row>
    <row r="101" spans="2:22" x14ac:dyDescent="0.4">
      <c r="B101" s="77"/>
      <c r="C101" s="96"/>
      <c r="D101" s="96"/>
      <c r="E101" s="97"/>
      <c r="F101" s="78"/>
      <c r="G101" s="79"/>
      <c r="H101" s="80"/>
      <c r="I101" s="81"/>
      <c r="J101" s="82"/>
      <c r="K101" s="83"/>
      <c r="L101" s="84"/>
      <c r="M101" s="82"/>
      <c r="N101" s="83"/>
      <c r="O101" s="84"/>
      <c r="P101" s="85"/>
      <c r="Q101" s="86"/>
      <c r="R101" s="87"/>
      <c r="S101" s="88"/>
      <c r="T101" s="86"/>
      <c r="U101" s="133"/>
      <c r="V101" s="89"/>
    </row>
    <row r="102" spans="2:22" x14ac:dyDescent="0.4">
      <c r="B102" s="140"/>
      <c r="C102" s="98"/>
      <c r="D102" s="98"/>
      <c r="E102" s="99"/>
      <c r="F102" s="100"/>
      <c r="G102" s="101"/>
      <c r="H102" s="102"/>
      <c r="I102" s="103"/>
      <c r="J102" s="104"/>
      <c r="K102" s="105"/>
      <c r="L102" s="106"/>
      <c r="M102" s="104"/>
      <c r="N102" s="105"/>
      <c r="O102" s="106"/>
      <c r="P102" s="107"/>
      <c r="Q102" s="108"/>
      <c r="R102" s="109"/>
      <c r="S102" s="110"/>
      <c r="T102" s="108"/>
      <c r="U102" s="136"/>
      <c r="V102" s="111"/>
    </row>
    <row r="103" spans="2:22" x14ac:dyDescent="0.4">
      <c r="B103" s="4"/>
      <c r="C103" s="55"/>
      <c r="D103" s="55"/>
      <c r="E103" s="56"/>
      <c r="F103" s="5"/>
      <c r="G103" s="30"/>
      <c r="H103" s="18"/>
      <c r="I103" s="19"/>
      <c r="J103" s="12"/>
      <c r="K103" s="13"/>
      <c r="L103" s="14"/>
      <c r="M103" s="12"/>
      <c r="N103" s="13"/>
      <c r="O103" s="14"/>
      <c r="P103" s="35"/>
      <c r="Q103" s="23"/>
      <c r="R103" s="24"/>
      <c r="S103" s="22"/>
      <c r="T103" s="23"/>
      <c r="U103" s="137"/>
      <c r="V103" s="38"/>
    </row>
    <row r="104" spans="2:22" x14ac:dyDescent="0.4">
      <c r="B104" s="77"/>
      <c r="C104" s="96"/>
      <c r="D104" s="96"/>
      <c r="E104" s="97"/>
      <c r="F104" s="78"/>
      <c r="G104" s="79"/>
      <c r="H104" s="80"/>
      <c r="I104" s="81"/>
      <c r="J104" s="82"/>
      <c r="K104" s="83"/>
      <c r="L104" s="84"/>
      <c r="M104" s="82"/>
      <c r="N104" s="83"/>
      <c r="O104" s="84"/>
      <c r="P104" s="85"/>
      <c r="Q104" s="86"/>
      <c r="R104" s="87"/>
      <c r="S104" s="88"/>
      <c r="T104" s="86"/>
      <c r="U104" s="133"/>
      <c r="V104" s="89"/>
    </row>
    <row r="105" spans="2:22" x14ac:dyDescent="0.4">
      <c r="B105" s="140"/>
      <c r="C105" s="98"/>
      <c r="D105" s="98"/>
      <c r="E105" s="99"/>
      <c r="F105" s="100"/>
      <c r="G105" s="101"/>
      <c r="H105" s="102"/>
      <c r="I105" s="103"/>
      <c r="J105" s="104"/>
      <c r="K105" s="105"/>
      <c r="L105" s="106"/>
      <c r="M105" s="104"/>
      <c r="N105" s="105"/>
      <c r="O105" s="106"/>
      <c r="P105" s="107"/>
      <c r="Q105" s="108"/>
      <c r="R105" s="109"/>
      <c r="S105" s="110"/>
      <c r="T105" s="108"/>
      <c r="U105" s="136"/>
      <c r="V105" s="111"/>
    </row>
    <row r="106" spans="2:22" x14ac:dyDescent="0.4">
      <c r="B106" s="4"/>
      <c r="C106" s="55"/>
      <c r="D106" s="55"/>
      <c r="E106" s="56"/>
      <c r="F106" s="5"/>
      <c r="G106" s="30"/>
      <c r="H106" s="18"/>
      <c r="I106" s="19"/>
      <c r="J106" s="12"/>
      <c r="K106" s="13"/>
      <c r="L106" s="14"/>
      <c r="M106" s="12"/>
      <c r="N106" s="13"/>
      <c r="O106" s="14"/>
      <c r="P106" s="35"/>
      <c r="Q106" s="23"/>
      <c r="R106" s="24"/>
      <c r="S106" s="22"/>
      <c r="T106" s="23"/>
      <c r="U106" s="137"/>
      <c r="V106" s="38"/>
    </row>
    <row r="107" spans="2:22" x14ac:dyDescent="0.4">
      <c r="B107" s="77"/>
      <c r="C107" s="96"/>
      <c r="D107" s="96"/>
      <c r="E107" s="97"/>
      <c r="F107" s="78"/>
      <c r="G107" s="79"/>
      <c r="H107" s="80"/>
      <c r="I107" s="81"/>
      <c r="J107" s="82"/>
      <c r="K107" s="83"/>
      <c r="L107" s="84"/>
      <c r="M107" s="82"/>
      <c r="N107" s="83"/>
      <c r="O107" s="84"/>
      <c r="P107" s="85"/>
      <c r="Q107" s="86"/>
      <c r="R107" s="87"/>
      <c r="S107" s="88"/>
      <c r="T107" s="86"/>
      <c r="U107" s="133"/>
      <c r="V107" s="89"/>
    </row>
    <row r="108" spans="2:22" x14ac:dyDescent="0.4">
      <c r="B108" s="140"/>
      <c r="C108" s="98"/>
      <c r="D108" s="98"/>
      <c r="E108" s="99"/>
      <c r="F108" s="100"/>
      <c r="G108" s="101"/>
      <c r="H108" s="102"/>
      <c r="I108" s="103"/>
      <c r="J108" s="104"/>
      <c r="K108" s="105"/>
      <c r="L108" s="106"/>
      <c r="M108" s="104"/>
      <c r="N108" s="105"/>
      <c r="O108" s="106"/>
      <c r="P108" s="107"/>
      <c r="Q108" s="108"/>
      <c r="R108" s="109"/>
      <c r="S108" s="110"/>
      <c r="T108" s="108"/>
      <c r="U108" s="136"/>
      <c r="V108" s="111"/>
    </row>
    <row r="109" spans="2:22" x14ac:dyDescent="0.4">
      <c r="B109" s="4"/>
      <c r="C109" s="55"/>
      <c r="D109" s="55"/>
      <c r="E109" s="56"/>
      <c r="F109" s="5"/>
      <c r="G109" s="30"/>
      <c r="H109" s="18"/>
      <c r="I109" s="19"/>
      <c r="J109" s="12"/>
      <c r="K109" s="13"/>
      <c r="L109" s="14"/>
      <c r="M109" s="12"/>
      <c r="N109" s="13"/>
      <c r="O109" s="14"/>
      <c r="P109" s="35"/>
      <c r="Q109" s="23"/>
      <c r="R109" s="24"/>
      <c r="S109" s="22"/>
      <c r="T109" s="23"/>
      <c r="U109" s="137"/>
      <c r="V109" s="38"/>
    </row>
    <row r="110" spans="2:22" x14ac:dyDescent="0.4">
      <c r="B110" s="77"/>
      <c r="C110" s="96"/>
      <c r="D110" s="96"/>
      <c r="E110" s="97"/>
      <c r="F110" s="78"/>
      <c r="G110" s="79"/>
      <c r="H110" s="80"/>
      <c r="I110" s="81"/>
      <c r="J110" s="82"/>
      <c r="K110" s="83"/>
      <c r="L110" s="84"/>
      <c r="M110" s="82"/>
      <c r="N110" s="83"/>
      <c r="O110" s="84"/>
      <c r="P110" s="85"/>
      <c r="Q110" s="86"/>
      <c r="R110" s="87"/>
      <c r="S110" s="88"/>
      <c r="T110" s="86"/>
      <c r="U110" s="133"/>
      <c r="V110" s="89"/>
    </row>
    <row r="111" spans="2:22" x14ac:dyDescent="0.4">
      <c r="B111" s="140"/>
      <c r="C111" s="98"/>
      <c r="D111" s="98"/>
      <c r="E111" s="99"/>
      <c r="F111" s="100"/>
      <c r="G111" s="101"/>
      <c r="H111" s="102"/>
      <c r="I111" s="103"/>
      <c r="J111" s="104"/>
      <c r="K111" s="105"/>
      <c r="L111" s="106"/>
      <c r="M111" s="104"/>
      <c r="N111" s="105"/>
      <c r="O111" s="106"/>
      <c r="P111" s="107"/>
      <c r="Q111" s="108"/>
      <c r="R111" s="109"/>
      <c r="S111" s="110"/>
      <c r="T111" s="108"/>
      <c r="U111" s="136"/>
      <c r="V111" s="111"/>
    </row>
    <row r="112" spans="2:22" x14ac:dyDescent="0.4">
      <c r="B112" s="4"/>
      <c r="C112" s="55"/>
      <c r="D112" s="55"/>
      <c r="E112" s="56"/>
      <c r="F112" s="5"/>
      <c r="G112" s="30"/>
      <c r="H112" s="18"/>
      <c r="I112" s="19"/>
      <c r="J112" s="12"/>
      <c r="K112" s="13"/>
      <c r="L112" s="14"/>
      <c r="M112" s="12"/>
      <c r="N112" s="13"/>
      <c r="O112" s="14"/>
      <c r="P112" s="35"/>
      <c r="Q112" s="23"/>
      <c r="R112" s="24"/>
      <c r="S112" s="22"/>
      <c r="T112" s="23"/>
      <c r="U112" s="137"/>
      <c r="V112" s="38"/>
    </row>
    <row r="113" spans="2:22" x14ac:dyDescent="0.4">
      <c r="B113" s="77"/>
      <c r="C113" s="96"/>
      <c r="D113" s="96"/>
      <c r="E113" s="97"/>
      <c r="F113" s="78"/>
      <c r="G113" s="79"/>
      <c r="H113" s="80"/>
      <c r="I113" s="81"/>
      <c r="J113" s="82"/>
      <c r="K113" s="83"/>
      <c r="L113" s="84"/>
      <c r="M113" s="82"/>
      <c r="N113" s="83"/>
      <c r="O113" s="84"/>
      <c r="P113" s="85"/>
      <c r="Q113" s="86"/>
      <c r="R113" s="87"/>
      <c r="S113" s="88"/>
      <c r="T113" s="86"/>
      <c r="U113" s="133"/>
      <c r="V113" s="89"/>
    </row>
    <row r="114" spans="2:22" x14ac:dyDescent="0.4">
      <c r="B114" s="140"/>
      <c r="C114" s="98"/>
      <c r="D114" s="98"/>
      <c r="E114" s="99"/>
      <c r="F114" s="100"/>
      <c r="G114" s="101"/>
      <c r="H114" s="102"/>
      <c r="I114" s="103"/>
      <c r="J114" s="104"/>
      <c r="K114" s="105"/>
      <c r="L114" s="106"/>
      <c r="M114" s="104"/>
      <c r="N114" s="105"/>
      <c r="O114" s="106"/>
      <c r="P114" s="107"/>
      <c r="Q114" s="108"/>
      <c r="R114" s="109"/>
      <c r="S114" s="110"/>
      <c r="T114" s="108"/>
      <c r="U114" s="136"/>
      <c r="V114" s="111"/>
    </row>
    <row r="115" spans="2:22" x14ac:dyDescent="0.4">
      <c r="B115" s="4"/>
      <c r="C115" s="55"/>
      <c r="D115" s="55"/>
      <c r="E115" s="56"/>
      <c r="F115" s="5"/>
      <c r="G115" s="30"/>
      <c r="H115" s="18"/>
      <c r="I115" s="19"/>
      <c r="J115" s="12"/>
      <c r="K115" s="13"/>
      <c r="L115" s="14"/>
      <c r="M115" s="12"/>
      <c r="N115" s="13"/>
      <c r="O115" s="14"/>
      <c r="P115" s="35"/>
      <c r="Q115" s="23"/>
      <c r="R115" s="24"/>
      <c r="S115" s="22"/>
      <c r="T115" s="23"/>
      <c r="U115" s="137"/>
      <c r="V115" s="38"/>
    </row>
    <row r="116" spans="2:22" x14ac:dyDescent="0.4">
      <c r="B116" s="77"/>
      <c r="C116" s="96"/>
      <c r="D116" s="96"/>
      <c r="E116" s="97"/>
      <c r="F116" s="78"/>
      <c r="G116" s="79"/>
      <c r="H116" s="80"/>
      <c r="I116" s="81"/>
      <c r="J116" s="82"/>
      <c r="K116" s="83"/>
      <c r="L116" s="84"/>
      <c r="M116" s="82"/>
      <c r="N116" s="83"/>
      <c r="O116" s="84"/>
      <c r="P116" s="85"/>
      <c r="Q116" s="86"/>
      <c r="R116" s="87"/>
      <c r="S116" s="88"/>
      <c r="T116" s="86"/>
      <c r="U116" s="133"/>
      <c r="V116" s="89"/>
    </row>
    <row r="117" spans="2:22" x14ac:dyDescent="0.4">
      <c r="B117" s="140"/>
      <c r="C117" s="98"/>
      <c r="D117" s="98"/>
      <c r="E117" s="99"/>
      <c r="F117" s="100"/>
      <c r="G117" s="101"/>
      <c r="H117" s="102"/>
      <c r="I117" s="103"/>
      <c r="J117" s="104"/>
      <c r="K117" s="105"/>
      <c r="L117" s="106"/>
      <c r="M117" s="104"/>
      <c r="N117" s="105"/>
      <c r="O117" s="106"/>
      <c r="P117" s="107"/>
      <c r="Q117" s="108"/>
      <c r="R117" s="109"/>
      <c r="S117" s="110"/>
      <c r="T117" s="108"/>
      <c r="U117" s="136"/>
      <c r="V117" s="111"/>
    </row>
    <row r="118" spans="2:22" x14ac:dyDescent="0.4">
      <c r="B118" s="4"/>
      <c r="C118" s="55"/>
      <c r="D118" s="55"/>
      <c r="E118" s="56"/>
      <c r="F118" s="5"/>
      <c r="G118" s="30"/>
      <c r="H118" s="18"/>
      <c r="I118" s="19"/>
      <c r="J118" s="12"/>
      <c r="K118" s="13"/>
      <c r="L118" s="14"/>
      <c r="M118" s="12"/>
      <c r="N118" s="13"/>
      <c r="O118" s="14"/>
      <c r="P118" s="35"/>
      <c r="Q118" s="23"/>
      <c r="R118" s="24"/>
      <c r="S118" s="22"/>
      <c r="T118" s="23"/>
      <c r="U118" s="137"/>
      <c r="V118" s="38"/>
    </row>
    <row r="119" spans="2:22" x14ac:dyDescent="0.4">
      <c r="B119" s="77"/>
      <c r="C119" s="96"/>
      <c r="D119" s="96"/>
      <c r="E119" s="97"/>
      <c r="F119" s="78"/>
      <c r="G119" s="79"/>
      <c r="H119" s="80"/>
      <c r="I119" s="81"/>
      <c r="J119" s="82"/>
      <c r="K119" s="83"/>
      <c r="L119" s="84"/>
      <c r="M119" s="82"/>
      <c r="N119" s="83"/>
      <c r="O119" s="84"/>
      <c r="P119" s="85"/>
      <c r="Q119" s="86"/>
      <c r="R119" s="87"/>
      <c r="S119" s="88"/>
      <c r="T119" s="86"/>
      <c r="U119" s="133"/>
      <c r="V119" s="89"/>
    </row>
    <row r="120" spans="2:22" x14ac:dyDescent="0.4">
      <c r="B120" s="140"/>
      <c r="C120" s="98"/>
      <c r="D120" s="98"/>
      <c r="E120" s="99"/>
      <c r="F120" s="100"/>
      <c r="G120" s="101"/>
      <c r="H120" s="102"/>
      <c r="I120" s="103"/>
      <c r="J120" s="104"/>
      <c r="K120" s="105"/>
      <c r="L120" s="106"/>
      <c r="M120" s="104"/>
      <c r="N120" s="105"/>
      <c r="O120" s="106"/>
      <c r="P120" s="107"/>
      <c r="Q120" s="108"/>
      <c r="R120" s="109"/>
      <c r="S120" s="110"/>
      <c r="T120" s="108"/>
      <c r="U120" s="136"/>
      <c r="V120" s="111"/>
    </row>
    <row r="121" spans="2:22" x14ac:dyDescent="0.4">
      <c r="B121" s="4"/>
      <c r="C121" s="55"/>
      <c r="D121" s="55"/>
      <c r="E121" s="56"/>
      <c r="F121" s="5"/>
      <c r="G121" s="30"/>
      <c r="H121" s="18"/>
      <c r="I121" s="19"/>
      <c r="J121" s="12"/>
      <c r="K121" s="13"/>
      <c r="L121" s="14"/>
      <c r="M121" s="12"/>
      <c r="N121" s="13"/>
      <c r="O121" s="14"/>
      <c r="P121" s="35"/>
      <c r="Q121" s="23"/>
      <c r="R121" s="24"/>
      <c r="S121" s="22"/>
      <c r="T121" s="23"/>
      <c r="U121" s="137"/>
      <c r="V121" s="38"/>
    </row>
    <row r="122" spans="2:22" x14ac:dyDescent="0.4">
      <c r="B122" s="77"/>
      <c r="C122" s="96"/>
      <c r="D122" s="96"/>
      <c r="E122" s="97"/>
      <c r="F122" s="78"/>
      <c r="G122" s="79"/>
      <c r="H122" s="80"/>
      <c r="I122" s="81"/>
      <c r="J122" s="82"/>
      <c r="K122" s="83"/>
      <c r="L122" s="84"/>
      <c r="M122" s="82"/>
      <c r="N122" s="83"/>
      <c r="O122" s="84"/>
      <c r="P122" s="85"/>
      <c r="Q122" s="86"/>
      <c r="R122" s="87"/>
      <c r="S122" s="88"/>
      <c r="T122" s="86"/>
      <c r="U122" s="133"/>
      <c r="V122" s="89"/>
    </row>
    <row r="123" spans="2:22" x14ac:dyDescent="0.4">
      <c r="B123" s="140"/>
      <c r="C123" s="98"/>
      <c r="D123" s="98"/>
      <c r="E123" s="99"/>
      <c r="F123" s="100"/>
      <c r="G123" s="101"/>
      <c r="H123" s="102"/>
      <c r="I123" s="103"/>
      <c r="J123" s="104"/>
      <c r="K123" s="105"/>
      <c r="L123" s="106"/>
      <c r="M123" s="104"/>
      <c r="N123" s="105"/>
      <c r="O123" s="106"/>
      <c r="P123" s="107"/>
      <c r="Q123" s="108"/>
      <c r="R123" s="109"/>
      <c r="S123" s="110"/>
      <c r="T123" s="108"/>
      <c r="U123" s="136"/>
      <c r="V123" s="111"/>
    </row>
    <row r="124" spans="2:22" x14ac:dyDescent="0.4">
      <c r="B124" s="4"/>
      <c r="C124" s="55"/>
      <c r="D124" s="55"/>
      <c r="E124" s="56"/>
      <c r="F124" s="5"/>
      <c r="G124" s="30"/>
      <c r="H124" s="18"/>
      <c r="I124" s="19"/>
      <c r="J124" s="12"/>
      <c r="K124" s="13"/>
      <c r="L124" s="14"/>
      <c r="M124" s="12"/>
      <c r="N124" s="13"/>
      <c r="O124" s="14"/>
      <c r="P124" s="35"/>
      <c r="Q124" s="23"/>
      <c r="R124" s="24"/>
      <c r="S124" s="22"/>
      <c r="T124" s="23"/>
      <c r="U124" s="137"/>
      <c r="V124" s="38"/>
    </row>
    <row r="125" spans="2:22" x14ac:dyDescent="0.4">
      <c r="B125" s="77"/>
      <c r="C125" s="96"/>
      <c r="D125" s="96"/>
      <c r="E125" s="97"/>
      <c r="F125" s="78"/>
      <c r="G125" s="79"/>
      <c r="H125" s="80"/>
      <c r="I125" s="81"/>
      <c r="J125" s="82"/>
      <c r="K125" s="83"/>
      <c r="L125" s="84"/>
      <c r="M125" s="82"/>
      <c r="N125" s="83"/>
      <c r="O125" s="84"/>
      <c r="P125" s="85"/>
      <c r="Q125" s="86"/>
      <c r="R125" s="87"/>
      <c r="S125" s="88"/>
      <c r="T125" s="86"/>
      <c r="U125" s="133"/>
      <c r="V125" s="89"/>
    </row>
  </sheetData>
  <autoFilter ref="B5:V71" xr:uid="{00000000-0009-0000-0000-000000000000}"/>
  <sortState xmlns:xlrd2="http://schemas.microsoft.com/office/spreadsheetml/2017/richdata2" ref="C6:U40">
    <sortCondition descending="1" ref="T6:T40"/>
  </sortState>
  <mergeCells count="6">
    <mergeCell ref="B2:V2"/>
    <mergeCell ref="G4:I4"/>
    <mergeCell ref="J4:L4"/>
    <mergeCell ref="M4:O4"/>
    <mergeCell ref="P4:R4"/>
    <mergeCell ref="S4:U4"/>
  </mergeCells>
  <phoneticPr fontId="2" type="noConversion"/>
  <conditionalFormatting sqref="E1:E4">
    <cfRule type="duplicateValues" dxfId="61" priority="264"/>
    <cfRule type="duplicateValues" dxfId="60" priority="265"/>
    <cfRule type="duplicateValues" dxfId="59" priority="263"/>
  </conditionalFormatting>
  <conditionalFormatting sqref="E1:E5">
    <cfRule type="duplicateValues" dxfId="58" priority="266"/>
    <cfRule type="duplicateValues" dxfId="57" priority="20351"/>
    <cfRule type="duplicateValues" dxfId="56" priority="20352"/>
    <cfRule type="duplicateValues" dxfId="55" priority="20353"/>
    <cfRule type="duplicateValues" dxfId="54" priority="20354"/>
  </conditionalFormatting>
  <conditionalFormatting sqref="E1:E8">
    <cfRule type="duplicateValues" dxfId="53" priority="20355"/>
    <cfRule type="duplicateValues" dxfId="52" priority="20358"/>
    <cfRule type="duplicateValues" dxfId="51" priority="20357"/>
    <cfRule type="duplicateValues" dxfId="50" priority="20356"/>
  </conditionalFormatting>
  <conditionalFormatting sqref="E1:E1048576">
    <cfRule type="duplicateValues" dxfId="49" priority="1"/>
  </conditionalFormatting>
  <conditionalFormatting sqref="E6:E8">
    <cfRule type="duplicateValues" dxfId="48" priority="20347"/>
    <cfRule type="duplicateValues" dxfId="47" priority="20349"/>
    <cfRule type="duplicateValues" dxfId="46" priority="20348"/>
    <cfRule type="duplicateValues" dxfId="45" priority="20350"/>
  </conditionalFormatting>
  <conditionalFormatting sqref="E7">
    <cfRule type="duplicateValues" dxfId="44" priority="93"/>
    <cfRule type="duplicateValues" dxfId="43" priority="94"/>
    <cfRule type="duplicateValues" dxfId="42" priority="95"/>
  </conditionalFormatting>
  <conditionalFormatting sqref="E8">
    <cfRule type="duplicateValues" dxfId="41" priority="56"/>
    <cfRule type="duplicateValues" dxfId="40" priority="58"/>
    <cfRule type="duplicateValues" dxfId="39" priority="57"/>
  </conditionalFormatting>
  <conditionalFormatting sqref="E9:E17">
    <cfRule type="duplicateValues" dxfId="38" priority="20533"/>
    <cfRule type="duplicateValues" dxfId="37" priority="20539"/>
    <cfRule type="duplicateValues" dxfId="36" priority="20538"/>
    <cfRule type="duplicateValues" dxfId="35" priority="20537"/>
    <cfRule type="duplicateValues" dxfId="34" priority="20536"/>
    <cfRule type="duplicateValues" dxfId="33" priority="20535"/>
    <cfRule type="duplicateValues" dxfId="32" priority="20534"/>
  </conditionalFormatting>
  <conditionalFormatting sqref="E10 E13 E16">
    <cfRule type="duplicateValues" dxfId="31" priority="20542"/>
    <cfRule type="duplicateValues" dxfId="30" priority="20541"/>
    <cfRule type="duplicateValues" dxfId="29" priority="20540"/>
  </conditionalFormatting>
  <conditionalFormatting sqref="E11 E14 E17">
    <cfRule type="duplicateValues" dxfId="28" priority="20551"/>
    <cfRule type="duplicateValues" dxfId="27" priority="20550"/>
    <cfRule type="duplicateValues" dxfId="26" priority="20549"/>
  </conditionalFormatting>
  <conditionalFormatting sqref="E18:E44">
    <cfRule type="duplicateValues" dxfId="25" priority="20558"/>
    <cfRule type="duplicateValues" dxfId="24" priority="20559"/>
    <cfRule type="duplicateValues" dxfId="23" priority="20560"/>
    <cfRule type="duplicateValues" dxfId="22" priority="20561"/>
    <cfRule type="duplicateValues" dxfId="21" priority="20562"/>
    <cfRule type="duplicateValues" dxfId="20" priority="20563"/>
    <cfRule type="duplicateValues" dxfId="19" priority="20564"/>
  </conditionalFormatting>
  <conditionalFormatting sqref="E19 E22 E25 E28 E31 E34 E37 E40 E43">
    <cfRule type="duplicateValues" dxfId="18" priority="19"/>
    <cfRule type="duplicateValues" dxfId="17" priority="20"/>
    <cfRule type="duplicateValues" dxfId="16" priority="18"/>
  </conditionalFormatting>
  <conditionalFormatting sqref="E20 E23 E26 E29 E32 E35 E38 E41 E44">
    <cfRule type="duplicateValues" dxfId="15" priority="16"/>
    <cfRule type="duplicateValues" dxfId="14" priority="15"/>
    <cfRule type="duplicateValues" dxfId="13" priority="17"/>
  </conditionalFormatting>
  <conditionalFormatting sqref="E45:E125">
    <cfRule type="duplicateValues" dxfId="12" priority="20523"/>
    <cfRule type="duplicateValues" dxfId="11" priority="20529"/>
    <cfRule type="duplicateValues" dxfId="10" priority="20528"/>
    <cfRule type="duplicateValues" dxfId="9" priority="20527"/>
    <cfRule type="duplicateValues" dxfId="8" priority="20526"/>
    <cfRule type="duplicateValues" dxfId="7" priority="20525"/>
    <cfRule type="duplicateValues" dxfId="6" priority="20524"/>
  </conditionalFormatting>
  <conditionalFormatting sqref="E46 E61 E76 E91 E106 E121 E49 E64 E79 E94 E109 E124 E52 E67 E82 E97 E112 E55 E70 E85 E100 E115 E58 E73 E88 E103 E118">
    <cfRule type="duplicateValues" dxfId="5" priority="5"/>
    <cfRule type="duplicateValues" dxfId="4" priority="6"/>
    <cfRule type="duplicateValues" dxfId="3" priority="7"/>
  </conditionalFormatting>
  <conditionalFormatting sqref="E47 E62 E77 E92 E107 E122 E50 E65 E80 E95 E110 E125 E53 E68 E83 E98 E113 E56 E71 E86 E101 E116 E59 E74 E89 E104 E119">
    <cfRule type="duplicateValues" dxfId="2" priority="3"/>
    <cfRule type="duplicateValues" dxfId="1" priority="4"/>
    <cfRule type="duplicateValues" dxfId="0" priority="2"/>
  </conditionalFormatting>
  <printOptions horizontalCentered="1"/>
  <pageMargins left="0" right="0" top="0.39370078740157483" bottom="0" header="0" footer="0"/>
  <pageSetup paperSize="9" scale="3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Y206"/>
  <sheetViews>
    <sheetView showGridLines="0" view="pageBreakPreview" zoomScale="55" zoomScaleNormal="80" zoomScaleSheetLayoutView="55" workbookViewId="0">
      <pane xSplit="2" ySplit="5" topLeftCell="C6" activePane="bottomRight" state="frozen"/>
      <selection pane="topRight"/>
      <selection pane="bottomLeft"/>
      <selection pane="bottomRight" activeCell="Y1" sqref="Y1"/>
    </sheetView>
  </sheetViews>
  <sheetFormatPr defaultRowHeight="17.399999999999999" x14ac:dyDescent="0.4"/>
  <cols>
    <col min="1" max="1" width="1.8984375" customWidth="1"/>
    <col min="3" max="3" width="15.5" bestFit="1" customWidth="1"/>
    <col min="4" max="8" width="15.5" customWidth="1"/>
    <col min="9" max="11" width="34.19921875" customWidth="1"/>
    <col min="12" max="12" width="12.3984375" bestFit="1" customWidth="1"/>
    <col min="13" max="13" width="10.3984375" style="7" customWidth="1"/>
    <col min="14" max="14" width="9.09765625" customWidth="1"/>
    <col min="16" max="16" width="10.3984375" style="9" customWidth="1"/>
    <col min="17" max="17" width="13.5" style="1" customWidth="1"/>
    <col min="18" max="18" width="37.8984375" style="1" customWidth="1"/>
    <col min="19" max="19" width="10.69921875" style="37" bestFit="1" customWidth="1"/>
    <col min="20" max="20" width="10.59765625" style="2" bestFit="1" customWidth="1"/>
    <col min="21" max="21" width="9.19921875" style="2" bestFit="1" customWidth="1"/>
    <col min="22" max="22" width="9.09765625" style="8" bestFit="1" customWidth="1"/>
    <col min="23" max="23" width="12.5" style="2" bestFit="1" customWidth="1"/>
    <col min="24" max="24" width="9.19921875" style="2" bestFit="1" customWidth="1"/>
    <col min="25" max="25" width="74.09765625" customWidth="1"/>
    <col min="29" max="29" width="12.19921875" bestFit="1" customWidth="1"/>
    <col min="31" max="31" width="12.19921875" bestFit="1" customWidth="1"/>
  </cols>
  <sheetData>
    <row r="1" spans="2:25" x14ac:dyDescent="0.4">
      <c r="M1"/>
      <c r="P1"/>
      <c r="Q1"/>
      <c r="R1"/>
      <c r="S1" s="32"/>
      <c r="T1"/>
      <c r="U1"/>
      <c r="V1"/>
      <c r="W1"/>
      <c r="X1"/>
    </row>
    <row r="2" spans="2:25" ht="25.2" x14ac:dyDescent="0.4">
      <c r="B2" s="142" t="str">
        <f>단품리스트!B2</f>
        <v xml:space="preserve">■ 26년 8월 월간 모델별 금융판촉 리스트 ■ 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</row>
    <row r="3" spans="2:25" ht="18" thickBot="1" x14ac:dyDescent="0.45">
      <c r="B3" t="s">
        <v>17</v>
      </c>
      <c r="P3" s="29" t="s">
        <v>11</v>
      </c>
      <c r="Q3"/>
      <c r="R3"/>
      <c r="S3" s="33"/>
      <c r="T3"/>
      <c r="U3"/>
      <c r="V3" s="7"/>
      <c r="W3"/>
      <c r="X3"/>
      <c r="Y3" s="3" t="s">
        <v>10</v>
      </c>
    </row>
    <row r="4" spans="2:25" ht="21.75" customHeight="1" x14ac:dyDescent="0.4">
      <c r="B4" s="146" t="s">
        <v>0</v>
      </c>
      <c r="C4" s="143" t="s">
        <v>1</v>
      </c>
      <c r="D4" s="144"/>
      <c r="E4" s="145"/>
      <c r="F4" s="143" t="s">
        <v>9</v>
      </c>
      <c r="G4" s="144"/>
      <c r="H4" s="145"/>
      <c r="I4" s="143" t="s">
        <v>15</v>
      </c>
      <c r="J4" s="144"/>
      <c r="K4" s="145"/>
      <c r="L4" s="148" t="s">
        <v>2</v>
      </c>
      <c r="M4" s="150" t="s">
        <v>3</v>
      </c>
      <c r="N4" s="150"/>
      <c r="O4" s="150"/>
      <c r="P4" s="150" t="s">
        <v>4</v>
      </c>
      <c r="Q4" s="150"/>
      <c r="R4" s="150"/>
      <c r="S4" s="150" t="s">
        <v>316</v>
      </c>
      <c r="T4" s="150"/>
      <c r="U4" s="150"/>
      <c r="V4" s="150" t="s">
        <v>317</v>
      </c>
      <c r="W4" s="150"/>
      <c r="X4" s="150"/>
      <c r="Y4" s="151" t="s">
        <v>5</v>
      </c>
    </row>
    <row r="5" spans="2:25" ht="18" thickBot="1" x14ac:dyDescent="0.45">
      <c r="B5" s="147"/>
      <c r="C5" s="40" t="s">
        <v>12</v>
      </c>
      <c r="D5" s="10" t="s">
        <v>13</v>
      </c>
      <c r="E5" s="42" t="s">
        <v>14</v>
      </c>
      <c r="F5" s="45" t="s">
        <v>12</v>
      </c>
      <c r="G5" s="10" t="s">
        <v>13</v>
      </c>
      <c r="H5" s="46" t="s">
        <v>14</v>
      </c>
      <c r="I5" s="40" t="s">
        <v>12</v>
      </c>
      <c r="J5" s="10" t="s">
        <v>13</v>
      </c>
      <c r="K5" s="42" t="s">
        <v>14</v>
      </c>
      <c r="L5" s="149"/>
      <c r="M5" s="28" t="s">
        <v>6</v>
      </c>
      <c r="N5" s="10" t="s">
        <v>7</v>
      </c>
      <c r="O5" s="11" t="s">
        <v>8</v>
      </c>
      <c r="P5" s="28" t="s">
        <v>6</v>
      </c>
      <c r="Q5" s="10" t="s">
        <v>7</v>
      </c>
      <c r="R5" s="11" t="s">
        <v>8</v>
      </c>
      <c r="S5" s="34" t="s">
        <v>6</v>
      </c>
      <c r="T5" s="10" t="s">
        <v>7</v>
      </c>
      <c r="U5" s="11" t="s">
        <v>8</v>
      </c>
      <c r="V5" s="28" t="s">
        <v>6</v>
      </c>
      <c r="W5" s="10" t="s">
        <v>7</v>
      </c>
      <c r="X5" s="11" t="s">
        <v>8</v>
      </c>
      <c r="Y5" s="152"/>
    </row>
    <row r="6" spans="2:25" ht="18" thickTop="1" x14ac:dyDescent="0.4">
      <c r="B6" s="77">
        <f t="shared" ref="B6:B12" si="0">ROW(B6)-5</f>
        <v>1</v>
      </c>
      <c r="C6" s="90" t="s">
        <v>330</v>
      </c>
      <c r="D6" s="91" t="s">
        <v>322</v>
      </c>
      <c r="E6" s="92"/>
      <c r="F6" s="90" t="s">
        <v>320</v>
      </c>
      <c r="G6" s="91" t="s">
        <v>323</v>
      </c>
      <c r="H6" s="92"/>
      <c r="I6" s="93" t="s">
        <v>324</v>
      </c>
      <c r="J6" s="94" t="s">
        <v>325</v>
      </c>
      <c r="K6" s="95"/>
      <c r="L6" s="6">
        <f>SUM(M6,P6,S6,V6)</f>
        <v>49900</v>
      </c>
      <c r="M6" s="31"/>
      <c r="N6" s="20"/>
      <c r="O6" s="21"/>
      <c r="P6" s="15"/>
      <c r="Q6" s="16"/>
      <c r="R6" s="17"/>
      <c r="S6" s="36"/>
      <c r="T6" s="26"/>
      <c r="U6" s="27"/>
      <c r="V6" s="25">
        <v>49900</v>
      </c>
      <c r="W6" s="26" t="s">
        <v>328</v>
      </c>
      <c r="X6" s="27" t="s">
        <v>319</v>
      </c>
      <c r="Y6" s="39"/>
    </row>
    <row r="7" spans="2:25" x14ac:dyDescent="0.4">
      <c r="B7" s="4">
        <f t="shared" si="0"/>
        <v>2</v>
      </c>
      <c r="C7" s="41" t="s">
        <v>329</v>
      </c>
      <c r="D7" s="44" t="s">
        <v>322</v>
      </c>
      <c r="E7" s="43"/>
      <c r="F7" s="41" t="s">
        <v>320</v>
      </c>
      <c r="G7" s="44" t="s">
        <v>323</v>
      </c>
      <c r="H7" s="43"/>
      <c r="I7" s="47" t="s">
        <v>326</v>
      </c>
      <c r="J7" s="49" t="s">
        <v>325</v>
      </c>
      <c r="K7" s="48"/>
      <c r="L7" s="5">
        <f t="shared" ref="L7:L49" si="1">SUM(M7,P7,S7,V7)</f>
        <v>49900</v>
      </c>
      <c r="M7" s="30"/>
      <c r="N7" s="18"/>
      <c r="O7" s="19"/>
      <c r="P7" s="12"/>
      <c r="Q7" s="13"/>
      <c r="R7" s="14"/>
      <c r="S7" s="35"/>
      <c r="T7" s="23"/>
      <c r="U7" s="24"/>
      <c r="V7" s="22">
        <v>49900</v>
      </c>
      <c r="W7" s="23" t="s">
        <v>328</v>
      </c>
      <c r="X7" s="24" t="s">
        <v>318</v>
      </c>
      <c r="Y7" s="38"/>
    </row>
    <row r="8" spans="2:25" x14ac:dyDescent="0.4">
      <c r="B8" s="76">
        <f t="shared" si="0"/>
        <v>3</v>
      </c>
      <c r="C8" s="69" t="s">
        <v>329</v>
      </c>
      <c r="D8" s="70" t="s">
        <v>322</v>
      </c>
      <c r="E8" s="71"/>
      <c r="F8" s="69" t="s">
        <v>320</v>
      </c>
      <c r="G8" s="70" t="s">
        <v>323</v>
      </c>
      <c r="H8" s="71"/>
      <c r="I8" s="72" t="s">
        <v>327</v>
      </c>
      <c r="J8" s="73" t="s">
        <v>325</v>
      </c>
      <c r="K8" s="74"/>
      <c r="L8" s="57">
        <f t="shared" si="1"/>
        <v>49900</v>
      </c>
      <c r="M8" s="58"/>
      <c r="N8" s="59"/>
      <c r="O8" s="60"/>
      <c r="P8" s="61"/>
      <c r="Q8" s="62"/>
      <c r="R8" s="63"/>
      <c r="S8" s="64"/>
      <c r="T8" s="65"/>
      <c r="U8" s="66"/>
      <c r="V8" s="67">
        <v>49900</v>
      </c>
      <c r="W8" s="65" t="s">
        <v>328</v>
      </c>
      <c r="X8" s="66" t="s">
        <v>318</v>
      </c>
      <c r="Y8" s="68"/>
    </row>
    <row r="9" spans="2:25" x14ac:dyDescent="0.4">
      <c r="B9" s="77">
        <f t="shared" si="0"/>
        <v>4</v>
      </c>
      <c r="C9" s="90" t="s">
        <v>337</v>
      </c>
      <c r="D9" s="91" t="s">
        <v>338</v>
      </c>
      <c r="E9" s="92"/>
      <c r="F9" s="90" t="s">
        <v>339</v>
      </c>
      <c r="G9" s="91" t="s">
        <v>339</v>
      </c>
      <c r="H9" s="92"/>
      <c r="I9" s="93" t="s">
        <v>340</v>
      </c>
      <c r="J9" s="94" t="s">
        <v>341</v>
      </c>
      <c r="K9" s="95"/>
      <c r="L9" s="6">
        <f t="shared" si="1"/>
        <v>4900</v>
      </c>
      <c r="M9" s="31"/>
      <c r="N9" s="20"/>
      <c r="O9" s="21"/>
      <c r="P9" s="15"/>
      <c r="Q9" s="16"/>
      <c r="R9" s="17"/>
      <c r="S9" s="36"/>
      <c r="T9" s="26"/>
      <c r="U9" s="27"/>
      <c r="V9" s="25">
        <v>4900</v>
      </c>
      <c r="W9" s="26" t="s">
        <v>328</v>
      </c>
      <c r="X9" s="27" t="s">
        <v>318</v>
      </c>
      <c r="Y9" s="39"/>
    </row>
    <row r="10" spans="2:25" x14ac:dyDescent="0.4">
      <c r="B10" s="4">
        <f t="shared" si="0"/>
        <v>5</v>
      </c>
      <c r="C10" s="41" t="s">
        <v>337</v>
      </c>
      <c r="D10" s="44" t="s">
        <v>338</v>
      </c>
      <c r="E10" s="43"/>
      <c r="F10" s="41" t="s">
        <v>339</v>
      </c>
      <c r="G10" s="44" t="s">
        <v>339</v>
      </c>
      <c r="H10" s="43"/>
      <c r="I10" s="47" t="s">
        <v>342</v>
      </c>
      <c r="J10" s="49" t="s">
        <v>343</v>
      </c>
      <c r="K10" s="48"/>
      <c r="L10" s="5">
        <f t="shared" si="1"/>
        <v>4900</v>
      </c>
      <c r="M10" s="30"/>
      <c r="N10" s="18"/>
      <c r="O10" s="19"/>
      <c r="P10" s="12"/>
      <c r="Q10" s="13"/>
      <c r="R10" s="14"/>
      <c r="S10" s="35"/>
      <c r="T10" s="23"/>
      <c r="U10" s="24"/>
      <c r="V10" s="22">
        <v>4900</v>
      </c>
      <c r="W10" s="23" t="s">
        <v>328</v>
      </c>
      <c r="X10" s="24" t="s">
        <v>318</v>
      </c>
      <c r="Y10" s="38"/>
    </row>
    <row r="11" spans="2:25" x14ac:dyDescent="0.4">
      <c r="B11" s="76">
        <f t="shared" si="0"/>
        <v>6</v>
      </c>
      <c r="C11" s="69" t="s">
        <v>337</v>
      </c>
      <c r="D11" s="70" t="s">
        <v>338</v>
      </c>
      <c r="E11" s="71"/>
      <c r="F11" s="69" t="s">
        <v>339</v>
      </c>
      <c r="G11" s="70" t="s">
        <v>339</v>
      </c>
      <c r="H11" s="71"/>
      <c r="I11" s="72" t="s">
        <v>344</v>
      </c>
      <c r="J11" s="73" t="s">
        <v>345</v>
      </c>
      <c r="K11" s="74"/>
      <c r="L11" s="57">
        <f t="shared" si="1"/>
        <v>3900</v>
      </c>
      <c r="M11" s="58"/>
      <c r="N11" s="59"/>
      <c r="O11" s="60"/>
      <c r="P11" s="61"/>
      <c r="Q11" s="62"/>
      <c r="R11" s="63"/>
      <c r="S11" s="64"/>
      <c r="T11" s="65"/>
      <c r="U11" s="66"/>
      <c r="V11" s="67">
        <v>3900</v>
      </c>
      <c r="W11" s="65" t="s">
        <v>328</v>
      </c>
      <c r="X11" s="66" t="s">
        <v>318</v>
      </c>
      <c r="Y11" s="68"/>
    </row>
    <row r="12" spans="2:25" x14ac:dyDescent="0.4">
      <c r="B12" s="77">
        <f t="shared" si="0"/>
        <v>7</v>
      </c>
      <c r="C12" s="90" t="s">
        <v>337</v>
      </c>
      <c r="D12" s="91" t="s">
        <v>338</v>
      </c>
      <c r="E12" s="92"/>
      <c r="F12" s="90" t="s">
        <v>339</v>
      </c>
      <c r="G12" s="91" t="s">
        <v>339</v>
      </c>
      <c r="H12" s="92"/>
      <c r="I12" s="93" t="s">
        <v>346</v>
      </c>
      <c r="J12" s="94" t="s">
        <v>347</v>
      </c>
      <c r="K12" s="95"/>
      <c r="L12" s="6">
        <f t="shared" si="1"/>
        <v>3900</v>
      </c>
      <c r="M12" s="31"/>
      <c r="N12" s="20"/>
      <c r="O12" s="21"/>
      <c r="P12" s="15"/>
      <c r="Q12" s="16"/>
      <c r="R12" s="17"/>
      <c r="S12" s="36"/>
      <c r="T12" s="26"/>
      <c r="U12" s="27"/>
      <c r="V12" s="25">
        <v>3900</v>
      </c>
      <c r="W12" s="26" t="s">
        <v>328</v>
      </c>
      <c r="X12" s="27" t="s">
        <v>318</v>
      </c>
      <c r="Y12" s="39"/>
    </row>
    <row r="13" spans="2:25" x14ac:dyDescent="0.4">
      <c r="B13" s="4">
        <f t="shared" ref="B13:B34" si="2">ROW(B13)-5</f>
        <v>8</v>
      </c>
      <c r="C13" s="41" t="s">
        <v>337</v>
      </c>
      <c r="D13" s="44" t="s">
        <v>338</v>
      </c>
      <c r="E13" s="43"/>
      <c r="F13" s="41" t="s">
        <v>339</v>
      </c>
      <c r="G13" s="44" t="s">
        <v>339</v>
      </c>
      <c r="H13" s="43"/>
      <c r="I13" s="47" t="s">
        <v>348</v>
      </c>
      <c r="J13" s="49" t="s">
        <v>349</v>
      </c>
      <c r="K13" s="48"/>
      <c r="L13" s="5">
        <f t="shared" si="1"/>
        <v>3900</v>
      </c>
      <c r="M13" s="30"/>
      <c r="N13" s="18"/>
      <c r="O13" s="19"/>
      <c r="P13" s="12"/>
      <c r="Q13" s="13"/>
      <c r="R13" s="14"/>
      <c r="S13" s="35"/>
      <c r="T13" s="23"/>
      <c r="U13" s="24"/>
      <c r="V13" s="22">
        <v>3900</v>
      </c>
      <c r="W13" s="23" t="s">
        <v>328</v>
      </c>
      <c r="X13" s="24" t="s">
        <v>318</v>
      </c>
      <c r="Y13" s="38"/>
    </row>
    <row r="14" spans="2:25" x14ac:dyDescent="0.4">
      <c r="B14" s="76">
        <f t="shared" si="2"/>
        <v>9</v>
      </c>
      <c r="C14" s="69" t="s">
        <v>337</v>
      </c>
      <c r="D14" s="70" t="s">
        <v>338</v>
      </c>
      <c r="E14" s="71"/>
      <c r="F14" s="69" t="s">
        <v>339</v>
      </c>
      <c r="G14" s="70" t="s">
        <v>339</v>
      </c>
      <c r="H14" s="71"/>
      <c r="I14" s="72" t="s">
        <v>350</v>
      </c>
      <c r="J14" s="73" t="s">
        <v>351</v>
      </c>
      <c r="K14" s="74"/>
      <c r="L14" s="57">
        <f t="shared" si="1"/>
        <v>3900</v>
      </c>
      <c r="M14" s="58"/>
      <c r="N14" s="59"/>
      <c r="O14" s="60"/>
      <c r="P14" s="61"/>
      <c r="Q14" s="62"/>
      <c r="R14" s="63"/>
      <c r="S14" s="64"/>
      <c r="T14" s="65"/>
      <c r="U14" s="66"/>
      <c r="V14" s="67">
        <v>3900</v>
      </c>
      <c r="W14" s="65" t="s">
        <v>328</v>
      </c>
      <c r="X14" s="66" t="s">
        <v>318</v>
      </c>
      <c r="Y14" s="68"/>
    </row>
    <row r="15" spans="2:25" x14ac:dyDescent="0.4">
      <c r="B15" s="77">
        <f t="shared" si="2"/>
        <v>10</v>
      </c>
      <c r="C15" s="90" t="s">
        <v>353</v>
      </c>
      <c r="D15" s="91" t="s">
        <v>354</v>
      </c>
      <c r="E15" s="92"/>
      <c r="F15" s="90" t="s">
        <v>355</v>
      </c>
      <c r="G15" s="91" t="s">
        <v>355</v>
      </c>
      <c r="H15" s="92"/>
      <c r="I15" s="93" t="s">
        <v>356</v>
      </c>
      <c r="J15" s="94" t="s">
        <v>357</v>
      </c>
      <c r="K15" s="95"/>
      <c r="L15" s="6">
        <f t="shared" si="1"/>
        <v>20000</v>
      </c>
      <c r="M15" s="31"/>
      <c r="N15" s="20"/>
      <c r="O15" s="21"/>
      <c r="P15" s="15"/>
      <c r="Q15" s="16"/>
      <c r="R15" s="17"/>
      <c r="S15" s="36"/>
      <c r="T15" s="26"/>
      <c r="U15" s="27"/>
      <c r="V15" s="25">
        <v>20000</v>
      </c>
      <c r="W15" s="26" t="s">
        <v>328</v>
      </c>
      <c r="X15" s="27" t="s">
        <v>318</v>
      </c>
      <c r="Y15" s="39"/>
    </row>
    <row r="16" spans="2:25" x14ac:dyDescent="0.4">
      <c r="B16" s="4">
        <f t="shared" si="2"/>
        <v>11</v>
      </c>
      <c r="C16" s="41" t="s">
        <v>353</v>
      </c>
      <c r="D16" s="44" t="s">
        <v>354</v>
      </c>
      <c r="E16" s="43"/>
      <c r="F16" s="41" t="s">
        <v>355</v>
      </c>
      <c r="G16" s="44" t="s">
        <v>355</v>
      </c>
      <c r="H16" s="43"/>
      <c r="I16" s="47" t="s">
        <v>358</v>
      </c>
      <c r="J16" s="49" t="s">
        <v>357</v>
      </c>
      <c r="K16" s="48"/>
      <c r="L16" s="5">
        <f t="shared" si="1"/>
        <v>20000</v>
      </c>
      <c r="M16" s="30"/>
      <c r="N16" s="18"/>
      <c r="O16" s="19"/>
      <c r="P16" s="12"/>
      <c r="Q16" s="13"/>
      <c r="R16" s="14"/>
      <c r="S16" s="35"/>
      <c r="T16" s="23"/>
      <c r="U16" s="24"/>
      <c r="V16" s="22">
        <v>20000</v>
      </c>
      <c r="W16" s="23" t="s">
        <v>328</v>
      </c>
      <c r="X16" s="24" t="s">
        <v>318</v>
      </c>
      <c r="Y16" s="38"/>
    </row>
    <row r="17" spans="2:25" x14ac:dyDescent="0.4">
      <c r="B17" s="76">
        <f t="shared" si="2"/>
        <v>12</v>
      </c>
      <c r="C17" s="69" t="s">
        <v>359</v>
      </c>
      <c r="D17" s="70" t="s">
        <v>360</v>
      </c>
      <c r="E17" s="71"/>
      <c r="F17" s="69" t="s">
        <v>355</v>
      </c>
      <c r="G17" s="70" t="s">
        <v>355</v>
      </c>
      <c r="H17" s="71"/>
      <c r="I17" s="72" t="s">
        <v>361</v>
      </c>
      <c r="J17" s="73" t="s">
        <v>362</v>
      </c>
      <c r="K17" s="74"/>
      <c r="L17" s="57">
        <f t="shared" si="1"/>
        <v>30000</v>
      </c>
      <c r="M17" s="58"/>
      <c r="N17" s="59"/>
      <c r="O17" s="60"/>
      <c r="P17" s="61"/>
      <c r="Q17" s="62"/>
      <c r="R17" s="63"/>
      <c r="S17" s="64"/>
      <c r="T17" s="65"/>
      <c r="U17" s="66"/>
      <c r="V17" s="67">
        <v>30000</v>
      </c>
      <c r="W17" s="65" t="s">
        <v>328</v>
      </c>
      <c r="X17" s="66" t="s">
        <v>318</v>
      </c>
      <c r="Y17" s="68"/>
    </row>
    <row r="18" spans="2:25" x14ac:dyDescent="0.4">
      <c r="B18" s="77">
        <f t="shared" si="2"/>
        <v>13</v>
      </c>
      <c r="C18" s="90" t="s">
        <v>353</v>
      </c>
      <c r="D18" s="91" t="s">
        <v>364</v>
      </c>
      <c r="E18" s="92"/>
      <c r="F18" s="90" t="s">
        <v>352</v>
      </c>
      <c r="G18" s="91" t="s">
        <v>352</v>
      </c>
      <c r="H18" s="92"/>
      <c r="I18" s="93" t="s">
        <v>365</v>
      </c>
      <c r="J18" s="94" t="s">
        <v>366</v>
      </c>
      <c r="K18" s="95"/>
      <c r="L18" s="6">
        <f t="shared" si="1"/>
        <v>8000</v>
      </c>
      <c r="M18" s="31"/>
      <c r="N18" s="20"/>
      <c r="O18" s="21"/>
      <c r="P18" s="15"/>
      <c r="Q18" s="16"/>
      <c r="R18" s="17"/>
      <c r="S18" s="36"/>
      <c r="T18" s="26"/>
      <c r="U18" s="27"/>
      <c r="V18" s="25">
        <v>8000</v>
      </c>
      <c r="W18" s="26" t="s">
        <v>328</v>
      </c>
      <c r="X18" s="27" t="s">
        <v>318</v>
      </c>
      <c r="Y18" s="39"/>
    </row>
    <row r="19" spans="2:25" x14ac:dyDescent="0.4">
      <c r="B19" s="4">
        <f t="shared" si="2"/>
        <v>14</v>
      </c>
      <c r="C19" s="41" t="s">
        <v>376</v>
      </c>
      <c r="D19" s="44" t="s">
        <v>377</v>
      </c>
      <c r="E19" s="43"/>
      <c r="F19" s="41" t="s">
        <v>378</v>
      </c>
      <c r="G19" s="44" t="s">
        <v>378</v>
      </c>
      <c r="H19" s="43"/>
      <c r="I19" s="47" t="s">
        <v>379</v>
      </c>
      <c r="J19" s="49" t="s">
        <v>380</v>
      </c>
      <c r="K19" s="48"/>
      <c r="L19" s="5">
        <f t="shared" si="1"/>
        <v>29900</v>
      </c>
      <c r="M19" s="30"/>
      <c r="N19" s="18"/>
      <c r="O19" s="19"/>
      <c r="P19" s="12"/>
      <c r="Q19" s="13"/>
      <c r="R19" s="14"/>
      <c r="S19" s="35"/>
      <c r="T19" s="23"/>
      <c r="U19" s="24"/>
      <c r="V19" s="22">
        <v>29900</v>
      </c>
      <c r="W19" s="23" t="s">
        <v>328</v>
      </c>
      <c r="X19" s="24" t="s">
        <v>318</v>
      </c>
      <c r="Y19" s="38" t="s">
        <v>382</v>
      </c>
    </row>
    <row r="20" spans="2:25" x14ac:dyDescent="0.4">
      <c r="B20" s="76">
        <f t="shared" si="2"/>
        <v>15</v>
      </c>
      <c r="C20" s="69" t="s">
        <v>376</v>
      </c>
      <c r="D20" s="70" t="s">
        <v>377</v>
      </c>
      <c r="E20" s="71"/>
      <c r="F20" s="69" t="s">
        <v>378</v>
      </c>
      <c r="G20" s="70" t="s">
        <v>378</v>
      </c>
      <c r="H20" s="71"/>
      <c r="I20" s="72" t="s">
        <v>381</v>
      </c>
      <c r="J20" s="73" t="s">
        <v>380</v>
      </c>
      <c r="K20" s="74"/>
      <c r="L20" s="57">
        <f t="shared" si="1"/>
        <v>29900</v>
      </c>
      <c r="M20" s="58"/>
      <c r="N20" s="59"/>
      <c r="O20" s="60"/>
      <c r="P20" s="61"/>
      <c r="Q20" s="62"/>
      <c r="R20" s="63"/>
      <c r="S20" s="64"/>
      <c r="T20" s="65"/>
      <c r="U20" s="66"/>
      <c r="V20" s="67">
        <v>29900</v>
      </c>
      <c r="W20" s="65" t="s">
        <v>328</v>
      </c>
      <c r="X20" s="66" t="s">
        <v>318</v>
      </c>
      <c r="Y20" s="68" t="s">
        <v>382</v>
      </c>
    </row>
    <row r="21" spans="2:25" x14ac:dyDescent="0.4">
      <c r="B21" s="77">
        <f t="shared" si="2"/>
        <v>16</v>
      </c>
      <c r="C21" s="90" t="s">
        <v>393</v>
      </c>
      <c r="D21" s="91" t="s">
        <v>393</v>
      </c>
      <c r="E21" s="92"/>
      <c r="F21" s="90" t="s">
        <v>394</v>
      </c>
      <c r="G21" s="91" t="s">
        <v>394</v>
      </c>
      <c r="H21" s="92"/>
      <c r="I21" s="93" t="s">
        <v>395</v>
      </c>
      <c r="J21" s="94" t="s">
        <v>396</v>
      </c>
      <c r="K21" s="95"/>
      <c r="L21" s="6">
        <f t="shared" si="1"/>
        <v>20000</v>
      </c>
      <c r="M21" s="31"/>
      <c r="N21" s="20"/>
      <c r="O21" s="21"/>
      <c r="P21" s="15"/>
      <c r="Q21" s="16"/>
      <c r="R21" s="17"/>
      <c r="S21" s="36"/>
      <c r="T21" s="26"/>
      <c r="U21" s="27"/>
      <c r="V21" s="25">
        <v>20000</v>
      </c>
      <c r="W21" s="26" t="s">
        <v>328</v>
      </c>
      <c r="X21" s="27" t="s">
        <v>318</v>
      </c>
      <c r="Y21" s="39"/>
    </row>
    <row r="22" spans="2:25" x14ac:dyDescent="0.4">
      <c r="B22" s="4">
        <f t="shared" si="2"/>
        <v>17</v>
      </c>
      <c r="C22" s="41" t="s">
        <v>16</v>
      </c>
      <c r="D22" s="44" t="s">
        <v>376</v>
      </c>
      <c r="E22" s="43"/>
      <c r="F22" s="41" t="s">
        <v>397</v>
      </c>
      <c r="G22" s="44" t="s">
        <v>378</v>
      </c>
      <c r="H22" s="43"/>
      <c r="I22" s="47" t="s">
        <v>398</v>
      </c>
      <c r="J22" s="49" t="s">
        <v>399</v>
      </c>
      <c r="K22" s="48"/>
      <c r="L22" s="5">
        <f t="shared" si="1"/>
        <v>32900</v>
      </c>
      <c r="M22" s="30"/>
      <c r="N22" s="18"/>
      <c r="O22" s="19"/>
      <c r="P22" s="12"/>
      <c r="Q22" s="13"/>
      <c r="R22" s="14"/>
      <c r="S22" s="35"/>
      <c r="T22" s="23"/>
      <c r="U22" s="24"/>
      <c r="V22" s="22">
        <v>32900</v>
      </c>
      <c r="W22" s="23" t="s">
        <v>328</v>
      </c>
      <c r="X22" s="24" t="s">
        <v>318</v>
      </c>
      <c r="Y22" s="38"/>
    </row>
    <row r="23" spans="2:25" x14ac:dyDescent="0.4">
      <c r="B23" s="76">
        <f t="shared" si="2"/>
        <v>18</v>
      </c>
      <c r="C23" s="69" t="s">
        <v>405</v>
      </c>
      <c r="D23" s="70" t="s">
        <v>406</v>
      </c>
      <c r="E23" s="71"/>
      <c r="F23" s="69" t="s">
        <v>407</v>
      </c>
      <c r="G23" s="70" t="s">
        <v>408</v>
      </c>
      <c r="H23" s="71"/>
      <c r="I23" s="72" t="s">
        <v>409</v>
      </c>
      <c r="J23" s="73" t="s">
        <v>410</v>
      </c>
      <c r="K23" s="74"/>
      <c r="L23" s="57">
        <f t="shared" si="1"/>
        <v>19000</v>
      </c>
      <c r="M23" s="58"/>
      <c r="N23" s="59"/>
      <c r="O23" s="60"/>
      <c r="P23" s="61"/>
      <c r="Q23" s="62"/>
      <c r="R23" s="63"/>
      <c r="S23" s="64"/>
      <c r="T23" s="65"/>
      <c r="U23" s="66"/>
      <c r="V23" s="67">
        <v>19000</v>
      </c>
      <c r="W23" s="65" t="s">
        <v>328</v>
      </c>
      <c r="X23" s="66" t="s">
        <v>318</v>
      </c>
      <c r="Y23" s="68"/>
    </row>
    <row r="24" spans="2:25" x14ac:dyDescent="0.4">
      <c r="B24" s="77">
        <f t="shared" si="2"/>
        <v>19</v>
      </c>
      <c r="C24" s="90" t="s">
        <v>405</v>
      </c>
      <c r="D24" s="91" t="s">
        <v>406</v>
      </c>
      <c r="E24" s="92"/>
      <c r="F24" s="90" t="s">
        <v>407</v>
      </c>
      <c r="G24" s="91" t="s">
        <v>408</v>
      </c>
      <c r="H24" s="92"/>
      <c r="I24" s="93" t="s">
        <v>411</v>
      </c>
      <c r="J24" s="94" t="s">
        <v>410</v>
      </c>
      <c r="K24" s="95"/>
      <c r="L24" s="6">
        <f t="shared" si="1"/>
        <v>19000</v>
      </c>
      <c r="M24" s="31"/>
      <c r="N24" s="20"/>
      <c r="O24" s="21"/>
      <c r="P24" s="15"/>
      <c r="Q24" s="16"/>
      <c r="R24" s="17"/>
      <c r="S24" s="36"/>
      <c r="T24" s="26"/>
      <c r="U24" s="27"/>
      <c r="V24" s="25">
        <v>19000</v>
      </c>
      <c r="W24" s="26" t="s">
        <v>328</v>
      </c>
      <c r="X24" s="27" t="s">
        <v>318</v>
      </c>
      <c r="Y24" s="39"/>
    </row>
    <row r="25" spans="2:25" x14ac:dyDescent="0.4">
      <c r="B25" s="4">
        <f t="shared" si="2"/>
        <v>20</v>
      </c>
      <c r="C25" s="41" t="s">
        <v>405</v>
      </c>
      <c r="D25" s="44" t="s">
        <v>406</v>
      </c>
      <c r="E25" s="43"/>
      <c r="F25" s="41" t="s">
        <v>407</v>
      </c>
      <c r="G25" s="44" t="s">
        <v>408</v>
      </c>
      <c r="H25" s="43"/>
      <c r="I25" s="47" t="s">
        <v>412</v>
      </c>
      <c r="J25" s="49" t="s">
        <v>413</v>
      </c>
      <c r="K25" s="48"/>
      <c r="L25" s="5">
        <f>SUM(M25,P25,S25,V25)</f>
        <v>32000</v>
      </c>
      <c r="M25" s="30"/>
      <c r="N25" s="18"/>
      <c r="O25" s="19"/>
      <c r="P25" s="12"/>
      <c r="Q25" s="13"/>
      <c r="R25" s="14"/>
      <c r="S25" s="35"/>
      <c r="T25" s="23"/>
      <c r="U25" s="24"/>
      <c r="V25" s="22">
        <v>32000</v>
      </c>
      <c r="W25" s="23" t="s">
        <v>328</v>
      </c>
      <c r="X25" s="24" t="s">
        <v>318</v>
      </c>
      <c r="Y25" s="38"/>
    </row>
    <row r="26" spans="2:25" x14ac:dyDescent="0.4">
      <c r="B26" s="76">
        <f t="shared" si="2"/>
        <v>21</v>
      </c>
      <c r="C26" s="69" t="s">
        <v>405</v>
      </c>
      <c r="D26" s="70" t="s">
        <v>406</v>
      </c>
      <c r="E26" s="71"/>
      <c r="F26" s="69" t="s">
        <v>407</v>
      </c>
      <c r="G26" s="70" t="s">
        <v>408</v>
      </c>
      <c r="H26" s="71"/>
      <c r="I26" s="72" t="s">
        <v>414</v>
      </c>
      <c r="J26" s="73" t="s">
        <v>413</v>
      </c>
      <c r="K26" s="74"/>
      <c r="L26" s="57">
        <f t="shared" si="1"/>
        <v>32000</v>
      </c>
      <c r="M26" s="58"/>
      <c r="N26" s="59"/>
      <c r="O26" s="60"/>
      <c r="P26" s="61"/>
      <c r="Q26" s="62"/>
      <c r="R26" s="63"/>
      <c r="S26" s="64"/>
      <c r="T26" s="65"/>
      <c r="U26" s="66"/>
      <c r="V26" s="67">
        <v>32000</v>
      </c>
      <c r="W26" s="65" t="s">
        <v>328</v>
      </c>
      <c r="X26" s="66" t="s">
        <v>318</v>
      </c>
      <c r="Y26" s="68"/>
    </row>
    <row r="27" spans="2:25" x14ac:dyDescent="0.4">
      <c r="B27" s="77">
        <f t="shared" si="2"/>
        <v>22</v>
      </c>
      <c r="C27" s="90" t="s">
        <v>213</v>
      </c>
      <c r="D27" s="91" t="s">
        <v>420</v>
      </c>
      <c r="E27" s="92"/>
      <c r="F27" s="90" t="s">
        <v>332</v>
      </c>
      <c r="G27" s="91" t="s">
        <v>415</v>
      </c>
      <c r="H27" s="92"/>
      <c r="I27" s="93" t="s">
        <v>30</v>
      </c>
      <c r="J27" s="94" t="s">
        <v>416</v>
      </c>
      <c r="K27" s="95"/>
      <c r="L27" s="6">
        <f t="shared" si="1"/>
        <v>20000</v>
      </c>
      <c r="M27" s="31"/>
      <c r="N27" s="20"/>
      <c r="O27" s="21"/>
      <c r="P27" s="15"/>
      <c r="Q27" s="16"/>
      <c r="R27" s="17"/>
      <c r="S27" s="36"/>
      <c r="T27" s="26"/>
      <c r="U27" s="27"/>
      <c r="V27" s="25">
        <v>20000</v>
      </c>
      <c r="W27" s="26" t="s">
        <v>328</v>
      </c>
      <c r="X27" s="27" t="s">
        <v>318</v>
      </c>
      <c r="Y27" s="39"/>
    </row>
    <row r="28" spans="2:25" x14ac:dyDescent="0.4">
      <c r="B28" s="4">
        <f t="shared" si="2"/>
        <v>23</v>
      </c>
      <c r="C28" s="41" t="s">
        <v>418</v>
      </c>
      <c r="D28" s="44" t="s">
        <v>419</v>
      </c>
      <c r="E28" s="43"/>
      <c r="F28" s="41" t="s">
        <v>332</v>
      </c>
      <c r="G28" s="44" t="s">
        <v>415</v>
      </c>
      <c r="H28" s="43"/>
      <c r="I28" s="47" t="s">
        <v>417</v>
      </c>
      <c r="J28" s="49" t="s">
        <v>416</v>
      </c>
      <c r="K28" s="48"/>
      <c r="L28" s="5">
        <f t="shared" si="1"/>
        <v>20000</v>
      </c>
      <c r="M28" s="30"/>
      <c r="N28" s="18"/>
      <c r="O28" s="19"/>
      <c r="P28" s="12"/>
      <c r="Q28" s="13"/>
      <c r="R28" s="14"/>
      <c r="S28" s="35"/>
      <c r="T28" s="23"/>
      <c r="U28" s="24"/>
      <c r="V28" s="22">
        <v>20000</v>
      </c>
      <c r="W28" s="23" t="s">
        <v>328</v>
      </c>
      <c r="X28" s="24" t="s">
        <v>318</v>
      </c>
      <c r="Y28" s="38"/>
    </row>
    <row r="29" spans="2:25" x14ac:dyDescent="0.4">
      <c r="B29" s="76">
        <f t="shared" si="2"/>
        <v>24</v>
      </c>
      <c r="C29" s="69" t="s">
        <v>434</v>
      </c>
      <c r="D29" s="70" t="s">
        <v>435</v>
      </c>
      <c r="E29" s="71"/>
      <c r="F29" s="69" t="s">
        <v>421</v>
      </c>
      <c r="G29" s="70" t="s">
        <v>332</v>
      </c>
      <c r="H29" s="71"/>
      <c r="I29" s="72" t="s">
        <v>422</v>
      </c>
      <c r="J29" s="73" t="s">
        <v>423</v>
      </c>
      <c r="K29" s="74"/>
      <c r="L29" s="57">
        <f t="shared" si="1"/>
        <v>100000</v>
      </c>
      <c r="M29" s="58"/>
      <c r="N29" s="59"/>
      <c r="O29" s="60"/>
      <c r="P29" s="61"/>
      <c r="Q29" s="62"/>
      <c r="R29" s="63"/>
      <c r="S29" s="64"/>
      <c r="T29" s="65"/>
      <c r="U29" s="66"/>
      <c r="V29" s="67">
        <v>100000</v>
      </c>
      <c r="W29" s="65" t="s">
        <v>328</v>
      </c>
      <c r="X29" s="66" t="s">
        <v>318</v>
      </c>
      <c r="Y29" s="68"/>
    </row>
    <row r="30" spans="2:25" x14ac:dyDescent="0.4">
      <c r="B30" s="77">
        <f t="shared" si="2"/>
        <v>25</v>
      </c>
      <c r="C30" s="90" t="s">
        <v>433</v>
      </c>
      <c r="D30" s="91" t="s">
        <v>405</v>
      </c>
      <c r="E30" s="92"/>
      <c r="F30" s="90" t="s">
        <v>421</v>
      </c>
      <c r="G30" s="91" t="s">
        <v>332</v>
      </c>
      <c r="H30" s="92"/>
      <c r="I30" s="93" t="s">
        <v>422</v>
      </c>
      <c r="J30" s="94" t="s">
        <v>424</v>
      </c>
      <c r="K30" s="95"/>
      <c r="L30" s="6">
        <f t="shared" si="1"/>
        <v>100000</v>
      </c>
      <c r="M30" s="31"/>
      <c r="N30" s="20"/>
      <c r="O30" s="21"/>
      <c r="P30" s="15"/>
      <c r="Q30" s="16"/>
      <c r="R30" s="17"/>
      <c r="S30" s="36"/>
      <c r="T30" s="26"/>
      <c r="U30" s="27"/>
      <c r="V30" s="25">
        <v>100000</v>
      </c>
      <c r="W30" s="26" t="s">
        <v>328</v>
      </c>
      <c r="X30" s="27" t="s">
        <v>318</v>
      </c>
      <c r="Y30" s="39"/>
    </row>
    <row r="31" spans="2:25" x14ac:dyDescent="0.4">
      <c r="B31" s="4">
        <f t="shared" si="2"/>
        <v>26</v>
      </c>
      <c r="C31" s="41" t="s">
        <v>433</v>
      </c>
      <c r="D31" s="44" t="s">
        <v>405</v>
      </c>
      <c r="E31" s="43"/>
      <c r="F31" s="41" t="s">
        <v>421</v>
      </c>
      <c r="G31" s="44" t="s">
        <v>332</v>
      </c>
      <c r="H31" s="43"/>
      <c r="I31" s="47" t="s">
        <v>422</v>
      </c>
      <c r="J31" s="49" t="s">
        <v>425</v>
      </c>
      <c r="K31" s="48"/>
      <c r="L31" s="5">
        <f t="shared" si="1"/>
        <v>100000</v>
      </c>
      <c r="M31" s="30"/>
      <c r="N31" s="18"/>
      <c r="O31" s="19"/>
      <c r="P31" s="12"/>
      <c r="Q31" s="13"/>
      <c r="R31" s="14"/>
      <c r="S31" s="35"/>
      <c r="T31" s="23"/>
      <c r="U31" s="24"/>
      <c r="V31" s="22">
        <v>100000</v>
      </c>
      <c r="W31" s="23" t="s">
        <v>328</v>
      </c>
      <c r="X31" s="24" t="s">
        <v>318</v>
      </c>
      <c r="Y31" s="38"/>
    </row>
    <row r="32" spans="2:25" x14ac:dyDescent="0.4">
      <c r="B32" s="76">
        <f t="shared" si="2"/>
        <v>27</v>
      </c>
      <c r="C32" s="69" t="s">
        <v>433</v>
      </c>
      <c r="D32" s="70" t="s">
        <v>405</v>
      </c>
      <c r="E32" s="71"/>
      <c r="F32" s="69" t="s">
        <v>421</v>
      </c>
      <c r="G32" s="70" t="s">
        <v>332</v>
      </c>
      <c r="H32" s="71"/>
      <c r="I32" s="72" t="s">
        <v>422</v>
      </c>
      <c r="J32" s="73" t="s">
        <v>426</v>
      </c>
      <c r="K32" s="74"/>
      <c r="L32" s="57">
        <f t="shared" si="1"/>
        <v>100000</v>
      </c>
      <c r="M32" s="58"/>
      <c r="N32" s="59"/>
      <c r="O32" s="60"/>
      <c r="P32" s="61"/>
      <c r="Q32" s="62"/>
      <c r="R32" s="63"/>
      <c r="S32" s="64"/>
      <c r="T32" s="65"/>
      <c r="U32" s="66"/>
      <c r="V32" s="67">
        <v>100000</v>
      </c>
      <c r="W32" s="65" t="s">
        <v>328</v>
      </c>
      <c r="X32" s="66" t="s">
        <v>318</v>
      </c>
      <c r="Y32" s="68"/>
    </row>
    <row r="33" spans="2:25" x14ac:dyDescent="0.4">
      <c r="B33" s="77">
        <f t="shared" si="2"/>
        <v>28</v>
      </c>
      <c r="C33" s="90" t="s">
        <v>433</v>
      </c>
      <c r="D33" s="91" t="s">
        <v>405</v>
      </c>
      <c r="E33" s="92"/>
      <c r="F33" s="90" t="s">
        <v>421</v>
      </c>
      <c r="G33" s="91" t="s">
        <v>332</v>
      </c>
      <c r="H33" s="92"/>
      <c r="I33" s="93" t="s">
        <v>422</v>
      </c>
      <c r="J33" s="94" t="s">
        <v>427</v>
      </c>
      <c r="K33" s="95"/>
      <c r="L33" s="6">
        <f t="shared" si="1"/>
        <v>100000</v>
      </c>
      <c r="M33" s="31"/>
      <c r="N33" s="20"/>
      <c r="O33" s="21"/>
      <c r="P33" s="15"/>
      <c r="Q33" s="16"/>
      <c r="R33" s="17"/>
      <c r="S33" s="36"/>
      <c r="T33" s="26"/>
      <c r="U33" s="27"/>
      <c r="V33" s="25">
        <v>100000</v>
      </c>
      <c r="W33" s="26" t="s">
        <v>328</v>
      </c>
      <c r="X33" s="27" t="s">
        <v>318</v>
      </c>
      <c r="Y33" s="39"/>
    </row>
    <row r="34" spans="2:25" x14ac:dyDescent="0.4">
      <c r="B34" s="4">
        <f t="shared" si="2"/>
        <v>29</v>
      </c>
      <c r="C34" s="41" t="s">
        <v>433</v>
      </c>
      <c r="D34" s="44" t="s">
        <v>405</v>
      </c>
      <c r="E34" s="43"/>
      <c r="F34" s="41" t="s">
        <v>421</v>
      </c>
      <c r="G34" s="44" t="s">
        <v>332</v>
      </c>
      <c r="H34" s="43"/>
      <c r="I34" s="47" t="s">
        <v>422</v>
      </c>
      <c r="J34" s="49" t="s">
        <v>428</v>
      </c>
      <c r="K34" s="48"/>
      <c r="L34" s="5">
        <f t="shared" si="1"/>
        <v>100000</v>
      </c>
      <c r="M34" s="30"/>
      <c r="N34" s="18"/>
      <c r="O34" s="19"/>
      <c r="P34" s="12"/>
      <c r="Q34" s="13"/>
      <c r="R34" s="14"/>
      <c r="S34" s="35"/>
      <c r="T34" s="23"/>
      <c r="U34" s="24"/>
      <c r="V34" s="22">
        <v>100000</v>
      </c>
      <c r="W34" s="23" t="s">
        <v>328</v>
      </c>
      <c r="X34" s="24" t="s">
        <v>318</v>
      </c>
      <c r="Y34" s="38"/>
    </row>
    <row r="35" spans="2:25" x14ac:dyDescent="0.4">
      <c r="B35" s="76">
        <f t="shared" ref="B35:B43" si="3">ROW(B35)-5</f>
        <v>30</v>
      </c>
      <c r="C35" s="69" t="s">
        <v>433</v>
      </c>
      <c r="D35" s="70" t="s">
        <v>405</v>
      </c>
      <c r="E35" s="71"/>
      <c r="F35" s="69" t="s">
        <v>421</v>
      </c>
      <c r="G35" s="70" t="s">
        <v>332</v>
      </c>
      <c r="H35" s="71"/>
      <c r="I35" s="72" t="s">
        <v>422</v>
      </c>
      <c r="J35" s="73" t="s">
        <v>429</v>
      </c>
      <c r="K35" s="74"/>
      <c r="L35" s="57">
        <f t="shared" si="1"/>
        <v>100000</v>
      </c>
      <c r="M35" s="58"/>
      <c r="N35" s="59"/>
      <c r="O35" s="60"/>
      <c r="P35" s="61"/>
      <c r="Q35" s="62"/>
      <c r="R35" s="63"/>
      <c r="S35" s="64"/>
      <c r="T35" s="65"/>
      <c r="U35" s="66"/>
      <c r="V35" s="67">
        <v>100000</v>
      </c>
      <c r="W35" s="65" t="s">
        <v>328</v>
      </c>
      <c r="X35" s="66" t="s">
        <v>318</v>
      </c>
      <c r="Y35" s="68"/>
    </row>
    <row r="36" spans="2:25" x14ac:dyDescent="0.4">
      <c r="B36" s="77">
        <f t="shared" si="3"/>
        <v>31</v>
      </c>
      <c r="C36" s="90" t="s">
        <v>433</v>
      </c>
      <c r="D36" s="91" t="s">
        <v>405</v>
      </c>
      <c r="E36" s="92"/>
      <c r="F36" s="90" t="s">
        <v>421</v>
      </c>
      <c r="G36" s="91" t="s">
        <v>332</v>
      </c>
      <c r="H36" s="92"/>
      <c r="I36" s="93" t="s">
        <v>422</v>
      </c>
      <c r="J36" s="94" t="s">
        <v>430</v>
      </c>
      <c r="K36" s="95"/>
      <c r="L36" s="6">
        <f t="shared" si="1"/>
        <v>100000</v>
      </c>
      <c r="M36" s="31"/>
      <c r="N36" s="20"/>
      <c r="O36" s="21"/>
      <c r="P36" s="15"/>
      <c r="Q36" s="16"/>
      <c r="R36" s="17"/>
      <c r="S36" s="36"/>
      <c r="T36" s="26"/>
      <c r="U36" s="27"/>
      <c r="V36" s="25">
        <v>100000</v>
      </c>
      <c r="W36" s="26" t="s">
        <v>328</v>
      </c>
      <c r="X36" s="27" t="s">
        <v>318</v>
      </c>
      <c r="Y36" s="39"/>
    </row>
    <row r="37" spans="2:25" x14ac:dyDescent="0.4">
      <c r="B37" s="4">
        <f t="shared" si="3"/>
        <v>32</v>
      </c>
      <c r="C37" s="41" t="s">
        <v>433</v>
      </c>
      <c r="D37" s="44" t="s">
        <v>405</v>
      </c>
      <c r="E37" s="43"/>
      <c r="F37" s="41" t="s">
        <v>431</v>
      </c>
      <c r="G37" s="44" t="s">
        <v>332</v>
      </c>
      <c r="H37" s="43"/>
      <c r="I37" s="47" t="s">
        <v>432</v>
      </c>
      <c r="J37" s="49" t="s">
        <v>423</v>
      </c>
      <c r="K37" s="48"/>
      <c r="L37" s="5">
        <f t="shared" si="1"/>
        <v>100000</v>
      </c>
      <c r="M37" s="30"/>
      <c r="N37" s="18"/>
      <c r="O37" s="19"/>
      <c r="P37" s="12"/>
      <c r="Q37" s="13"/>
      <c r="R37" s="14"/>
      <c r="S37" s="35"/>
      <c r="T37" s="23"/>
      <c r="U37" s="24"/>
      <c r="V37" s="22">
        <v>100000</v>
      </c>
      <c r="W37" s="23" t="s">
        <v>328</v>
      </c>
      <c r="X37" s="24" t="s">
        <v>318</v>
      </c>
      <c r="Y37" s="38"/>
    </row>
    <row r="38" spans="2:25" x14ac:dyDescent="0.4">
      <c r="B38" s="76">
        <f t="shared" si="3"/>
        <v>33</v>
      </c>
      <c r="C38" s="69" t="s">
        <v>433</v>
      </c>
      <c r="D38" s="70" t="s">
        <v>405</v>
      </c>
      <c r="E38" s="71"/>
      <c r="F38" s="69" t="s">
        <v>431</v>
      </c>
      <c r="G38" s="70" t="s">
        <v>332</v>
      </c>
      <c r="H38" s="71"/>
      <c r="I38" s="72" t="s">
        <v>432</v>
      </c>
      <c r="J38" s="73" t="s">
        <v>424</v>
      </c>
      <c r="K38" s="74"/>
      <c r="L38" s="57">
        <f t="shared" si="1"/>
        <v>100000</v>
      </c>
      <c r="M38" s="58"/>
      <c r="N38" s="59"/>
      <c r="O38" s="60"/>
      <c r="P38" s="61"/>
      <c r="Q38" s="62"/>
      <c r="R38" s="63"/>
      <c r="S38" s="64"/>
      <c r="T38" s="65"/>
      <c r="U38" s="66"/>
      <c r="V38" s="67">
        <v>100000</v>
      </c>
      <c r="W38" s="65" t="s">
        <v>328</v>
      </c>
      <c r="X38" s="66" t="s">
        <v>318</v>
      </c>
      <c r="Y38" s="68"/>
    </row>
    <row r="39" spans="2:25" x14ac:dyDescent="0.4">
      <c r="B39" s="77">
        <f t="shared" si="3"/>
        <v>34</v>
      </c>
      <c r="C39" s="90" t="s">
        <v>433</v>
      </c>
      <c r="D39" s="91" t="s">
        <v>405</v>
      </c>
      <c r="E39" s="92"/>
      <c r="F39" s="90" t="s">
        <v>431</v>
      </c>
      <c r="G39" s="91" t="s">
        <v>332</v>
      </c>
      <c r="H39" s="92"/>
      <c r="I39" s="93" t="s">
        <v>432</v>
      </c>
      <c r="J39" s="94" t="s">
        <v>425</v>
      </c>
      <c r="K39" s="95"/>
      <c r="L39" s="6">
        <f t="shared" si="1"/>
        <v>100000</v>
      </c>
      <c r="M39" s="31"/>
      <c r="N39" s="20"/>
      <c r="O39" s="21"/>
      <c r="P39" s="15"/>
      <c r="Q39" s="16"/>
      <c r="R39" s="17"/>
      <c r="S39" s="36"/>
      <c r="T39" s="26"/>
      <c r="U39" s="27"/>
      <c r="V39" s="25">
        <v>100000</v>
      </c>
      <c r="W39" s="26" t="s">
        <v>328</v>
      </c>
      <c r="X39" s="27" t="s">
        <v>318</v>
      </c>
      <c r="Y39" s="39"/>
    </row>
    <row r="40" spans="2:25" x14ac:dyDescent="0.4">
      <c r="B40" s="4">
        <f t="shared" si="3"/>
        <v>35</v>
      </c>
      <c r="C40" s="41" t="s">
        <v>433</v>
      </c>
      <c r="D40" s="44" t="s">
        <v>405</v>
      </c>
      <c r="E40" s="43"/>
      <c r="F40" s="41" t="s">
        <v>431</v>
      </c>
      <c r="G40" s="44" t="s">
        <v>332</v>
      </c>
      <c r="H40" s="43"/>
      <c r="I40" s="47" t="s">
        <v>432</v>
      </c>
      <c r="J40" s="49" t="s">
        <v>426</v>
      </c>
      <c r="K40" s="48"/>
      <c r="L40" s="5">
        <f t="shared" si="1"/>
        <v>100000</v>
      </c>
      <c r="M40" s="30"/>
      <c r="N40" s="18"/>
      <c r="O40" s="19"/>
      <c r="P40" s="12"/>
      <c r="Q40" s="13"/>
      <c r="R40" s="14"/>
      <c r="S40" s="35"/>
      <c r="T40" s="23"/>
      <c r="U40" s="24"/>
      <c r="V40" s="22">
        <v>100000</v>
      </c>
      <c r="W40" s="23" t="s">
        <v>328</v>
      </c>
      <c r="X40" s="24" t="s">
        <v>318</v>
      </c>
      <c r="Y40" s="38"/>
    </row>
    <row r="41" spans="2:25" x14ac:dyDescent="0.4">
      <c r="B41" s="76">
        <f t="shared" si="3"/>
        <v>36</v>
      </c>
      <c r="C41" s="69" t="s">
        <v>433</v>
      </c>
      <c r="D41" s="70" t="s">
        <v>405</v>
      </c>
      <c r="E41" s="71"/>
      <c r="F41" s="69" t="s">
        <v>431</v>
      </c>
      <c r="G41" s="70" t="s">
        <v>332</v>
      </c>
      <c r="H41" s="71"/>
      <c r="I41" s="72" t="s">
        <v>432</v>
      </c>
      <c r="J41" s="73" t="s">
        <v>427</v>
      </c>
      <c r="K41" s="74"/>
      <c r="L41" s="57">
        <f t="shared" si="1"/>
        <v>100000</v>
      </c>
      <c r="M41" s="58"/>
      <c r="N41" s="59"/>
      <c r="O41" s="60"/>
      <c r="P41" s="61"/>
      <c r="Q41" s="62"/>
      <c r="R41" s="63"/>
      <c r="S41" s="64"/>
      <c r="T41" s="65"/>
      <c r="U41" s="66"/>
      <c r="V41" s="67">
        <v>100000</v>
      </c>
      <c r="W41" s="65" t="s">
        <v>328</v>
      </c>
      <c r="X41" s="66" t="s">
        <v>318</v>
      </c>
      <c r="Y41" s="68"/>
    </row>
    <row r="42" spans="2:25" x14ac:dyDescent="0.4">
      <c r="B42" s="77">
        <f t="shared" si="3"/>
        <v>37</v>
      </c>
      <c r="C42" s="90" t="s">
        <v>433</v>
      </c>
      <c r="D42" s="91" t="s">
        <v>405</v>
      </c>
      <c r="E42" s="92"/>
      <c r="F42" s="90" t="s">
        <v>431</v>
      </c>
      <c r="G42" s="91" t="s">
        <v>332</v>
      </c>
      <c r="H42" s="92"/>
      <c r="I42" s="93" t="s">
        <v>432</v>
      </c>
      <c r="J42" s="94" t="s">
        <v>428</v>
      </c>
      <c r="K42" s="95"/>
      <c r="L42" s="6">
        <f t="shared" si="1"/>
        <v>100000</v>
      </c>
      <c r="M42" s="31"/>
      <c r="N42" s="20"/>
      <c r="O42" s="21"/>
      <c r="P42" s="15"/>
      <c r="Q42" s="16"/>
      <c r="R42" s="17"/>
      <c r="S42" s="36"/>
      <c r="T42" s="26"/>
      <c r="U42" s="27"/>
      <c r="V42" s="25">
        <v>100000</v>
      </c>
      <c r="W42" s="26" t="s">
        <v>328</v>
      </c>
      <c r="X42" s="27" t="s">
        <v>318</v>
      </c>
      <c r="Y42" s="39"/>
    </row>
    <row r="43" spans="2:25" x14ac:dyDescent="0.4">
      <c r="B43" s="4">
        <f t="shared" si="3"/>
        <v>38</v>
      </c>
      <c r="C43" s="41" t="s">
        <v>433</v>
      </c>
      <c r="D43" s="44" t="s">
        <v>405</v>
      </c>
      <c r="E43" s="43"/>
      <c r="F43" s="41" t="s">
        <v>431</v>
      </c>
      <c r="G43" s="44" t="s">
        <v>332</v>
      </c>
      <c r="H43" s="43"/>
      <c r="I43" s="47" t="s">
        <v>432</v>
      </c>
      <c r="J43" s="49" t="s">
        <v>429</v>
      </c>
      <c r="K43" s="48"/>
      <c r="L43" s="5">
        <f t="shared" si="1"/>
        <v>100000</v>
      </c>
      <c r="M43" s="30"/>
      <c r="N43" s="18"/>
      <c r="O43" s="19"/>
      <c r="P43" s="12"/>
      <c r="Q43" s="13"/>
      <c r="R43" s="14"/>
      <c r="S43" s="35"/>
      <c r="T43" s="23"/>
      <c r="U43" s="24"/>
      <c r="V43" s="22">
        <v>100000</v>
      </c>
      <c r="W43" s="23" t="s">
        <v>328</v>
      </c>
      <c r="X43" s="24" t="s">
        <v>318</v>
      </c>
      <c r="Y43" s="38"/>
    </row>
    <row r="44" spans="2:25" x14ac:dyDescent="0.4">
      <c r="B44" s="76">
        <f>ROW(B44)-5</f>
        <v>39</v>
      </c>
      <c r="C44" s="69" t="s">
        <v>433</v>
      </c>
      <c r="D44" s="70" t="s">
        <v>405</v>
      </c>
      <c r="E44" s="71"/>
      <c r="F44" s="69" t="s">
        <v>431</v>
      </c>
      <c r="G44" s="70" t="s">
        <v>332</v>
      </c>
      <c r="H44" s="71"/>
      <c r="I44" s="72" t="s">
        <v>432</v>
      </c>
      <c r="J44" s="73" t="s">
        <v>430</v>
      </c>
      <c r="K44" s="74"/>
      <c r="L44" s="57">
        <f t="shared" si="1"/>
        <v>100000</v>
      </c>
      <c r="M44" s="58"/>
      <c r="N44" s="59"/>
      <c r="O44" s="60"/>
      <c r="P44" s="61"/>
      <c r="Q44" s="62"/>
      <c r="R44" s="63"/>
      <c r="S44" s="64"/>
      <c r="T44" s="65"/>
      <c r="U44" s="66"/>
      <c r="V44" s="67">
        <v>100000</v>
      </c>
      <c r="W44" s="65" t="s">
        <v>328</v>
      </c>
      <c r="X44" s="66" t="s">
        <v>318</v>
      </c>
      <c r="Y44" s="68"/>
    </row>
    <row r="45" spans="2:25" x14ac:dyDescent="0.4">
      <c r="B45" s="77">
        <f>ROW(B45)-5</f>
        <v>40</v>
      </c>
      <c r="C45" s="90" t="s">
        <v>20</v>
      </c>
      <c r="D45" s="91" t="s">
        <v>20</v>
      </c>
      <c r="E45" s="92"/>
      <c r="F45" s="90" t="s">
        <v>320</v>
      </c>
      <c r="G45" s="91" t="s">
        <v>320</v>
      </c>
      <c r="H45" s="92"/>
      <c r="I45" s="93" t="s">
        <v>436</v>
      </c>
      <c r="J45" s="94" t="s">
        <v>437</v>
      </c>
      <c r="K45" s="95"/>
      <c r="L45" s="6">
        <f t="shared" si="1"/>
        <v>100000</v>
      </c>
      <c r="M45" s="31"/>
      <c r="N45" s="20"/>
      <c r="O45" s="21"/>
      <c r="P45" s="15"/>
      <c r="Q45" s="16"/>
      <c r="R45" s="17"/>
      <c r="S45" s="36"/>
      <c r="T45" s="26"/>
      <c r="U45" s="27"/>
      <c r="V45" s="25">
        <v>100000</v>
      </c>
      <c r="W45" s="26" t="s">
        <v>328</v>
      </c>
      <c r="X45" s="27" t="s">
        <v>318</v>
      </c>
      <c r="Y45" s="39"/>
    </row>
    <row r="46" spans="2:25" x14ac:dyDescent="0.4">
      <c r="B46" s="4">
        <f t="shared" ref="B46:B51" si="4">ROW(B46)-5</f>
        <v>41</v>
      </c>
      <c r="C46" s="41" t="s">
        <v>20</v>
      </c>
      <c r="D46" s="44" t="s">
        <v>20</v>
      </c>
      <c r="E46" s="43"/>
      <c r="F46" s="41" t="s">
        <v>320</v>
      </c>
      <c r="G46" s="44" t="s">
        <v>320</v>
      </c>
      <c r="H46" s="43"/>
      <c r="I46" s="47" t="s">
        <v>438</v>
      </c>
      <c r="J46" s="49" t="s">
        <v>437</v>
      </c>
      <c r="K46" s="48"/>
      <c r="L46" s="5">
        <f t="shared" si="1"/>
        <v>100000</v>
      </c>
      <c r="M46" s="30"/>
      <c r="N46" s="18"/>
      <c r="O46" s="19"/>
      <c r="P46" s="12"/>
      <c r="Q46" s="13"/>
      <c r="R46" s="14"/>
      <c r="S46" s="35"/>
      <c r="T46" s="23"/>
      <c r="U46" s="24"/>
      <c r="V46" s="22">
        <v>100000</v>
      </c>
      <c r="W46" s="23" t="s">
        <v>328</v>
      </c>
      <c r="X46" s="24" t="s">
        <v>318</v>
      </c>
      <c r="Y46" s="38"/>
    </row>
    <row r="47" spans="2:25" x14ac:dyDescent="0.4">
      <c r="B47" s="76">
        <f t="shared" si="4"/>
        <v>42</v>
      </c>
      <c r="C47" s="69" t="s">
        <v>20</v>
      </c>
      <c r="D47" s="70" t="s">
        <v>20</v>
      </c>
      <c r="E47" s="71"/>
      <c r="F47" s="69" t="s">
        <v>320</v>
      </c>
      <c r="G47" s="70" t="s">
        <v>320</v>
      </c>
      <c r="H47" s="71"/>
      <c r="I47" s="72" t="s">
        <v>436</v>
      </c>
      <c r="J47" s="73" t="s">
        <v>439</v>
      </c>
      <c r="K47" s="74"/>
      <c r="L47" s="57">
        <f t="shared" si="1"/>
        <v>100000</v>
      </c>
      <c r="M47" s="58"/>
      <c r="N47" s="59"/>
      <c r="O47" s="60"/>
      <c r="P47" s="61"/>
      <c r="Q47" s="62"/>
      <c r="R47" s="63"/>
      <c r="S47" s="64"/>
      <c r="T47" s="65"/>
      <c r="U47" s="66"/>
      <c r="V47" s="67">
        <v>100000</v>
      </c>
      <c r="W47" s="65" t="s">
        <v>328</v>
      </c>
      <c r="X47" s="66" t="s">
        <v>318</v>
      </c>
      <c r="Y47" s="68"/>
    </row>
    <row r="48" spans="2:25" x14ac:dyDescent="0.4">
      <c r="B48" s="77">
        <f t="shared" si="4"/>
        <v>43</v>
      </c>
      <c r="C48" s="90" t="s">
        <v>20</v>
      </c>
      <c r="D48" s="91" t="s">
        <v>20</v>
      </c>
      <c r="E48" s="92"/>
      <c r="F48" s="90" t="s">
        <v>320</v>
      </c>
      <c r="G48" s="91" t="s">
        <v>320</v>
      </c>
      <c r="H48" s="92"/>
      <c r="I48" s="93" t="s">
        <v>438</v>
      </c>
      <c r="J48" s="94" t="s">
        <v>439</v>
      </c>
      <c r="K48" s="95"/>
      <c r="L48" s="6">
        <f t="shared" si="1"/>
        <v>100000</v>
      </c>
      <c r="M48" s="31"/>
      <c r="N48" s="20"/>
      <c r="O48" s="21"/>
      <c r="P48" s="15"/>
      <c r="Q48" s="16"/>
      <c r="R48" s="17"/>
      <c r="S48" s="36"/>
      <c r="T48" s="26"/>
      <c r="U48" s="27"/>
      <c r="V48" s="25">
        <v>100000</v>
      </c>
      <c r="W48" s="26" t="s">
        <v>328</v>
      </c>
      <c r="X48" s="27" t="s">
        <v>318</v>
      </c>
      <c r="Y48" s="39"/>
    </row>
    <row r="49" spans="2:25" x14ac:dyDescent="0.4">
      <c r="B49" s="4">
        <f t="shared" si="4"/>
        <v>44</v>
      </c>
      <c r="C49" s="41" t="s">
        <v>20</v>
      </c>
      <c r="D49" s="44" t="s">
        <v>20</v>
      </c>
      <c r="E49" s="43"/>
      <c r="F49" s="41" t="s">
        <v>320</v>
      </c>
      <c r="G49" s="44" t="s">
        <v>320</v>
      </c>
      <c r="H49" s="43"/>
      <c r="I49" s="47" t="s">
        <v>436</v>
      </c>
      <c r="J49" s="49" t="s">
        <v>440</v>
      </c>
      <c r="K49" s="48"/>
      <c r="L49" s="5">
        <f t="shared" si="1"/>
        <v>100000</v>
      </c>
      <c r="M49" s="30"/>
      <c r="N49" s="18"/>
      <c r="O49" s="19"/>
      <c r="P49" s="12"/>
      <c r="Q49" s="13"/>
      <c r="R49" s="14"/>
      <c r="S49" s="35"/>
      <c r="T49" s="23"/>
      <c r="U49" s="24"/>
      <c r="V49" s="22">
        <v>100000</v>
      </c>
      <c r="W49" s="23" t="s">
        <v>328</v>
      </c>
      <c r="X49" s="24" t="s">
        <v>318</v>
      </c>
      <c r="Y49" s="38"/>
    </row>
    <row r="50" spans="2:25" x14ac:dyDescent="0.4">
      <c r="B50" s="76">
        <f t="shared" si="4"/>
        <v>45</v>
      </c>
      <c r="C50" s="69" t="s">
        <v>20</v>
      </c>
      <c r="D50" s="70" t="s">
        <v>20</v>
      </c>
      <c r="E50" s="71"/>
      <c r="F50" s="69" t="s">
        <v>320</v>
      </c>
      <c r="G50" s="70" t="s">
        <v>320</v>
      </c>
      <c r="H50" s="71"/>
      <c r="I50" s="72" t="s">
        <v>438</v>
      </c>
      <c r="J50" s="73" t="s">
        <v>440</v>
      </c>
      <c r="K50" s="74"/>
      <c r="L50" s="57">
        <f>SUM(M50,P50,S50,V50)</f>
        <v>100000</v>
      </c>
      <c r="M50" s="58"/>
      <c r="N50" s="59"/>
      <c r="O50" s="60"/>
      <c r="P50" s="61"/>
      <c r="Q50" s="62"/>
      <c r="R50" s="63"/>
      <c r="S50" s="64"/>
      <c r="T50" s="65"/>
      <c r="U50" s="66"/>
      <c r="V50" s="67">
        <v>100000</v>
      </c>
      <c r="W50" s="65" t="s">
        <v>328</v>
      </c>
      <c r="X50" s="66" t="s">
        <v>318</v>
      </c>
      <c r="Y50" s="68"/>
    </row>
    <row r="51" spans="2:25" x14ac:dyDescent="0.4">
      <c r="B51" s="77">
        <f t="shared" si="4"/>
        <v>46</v>
      </c>
      <c r="C51" s="90" t="s">
        <v>20</v>
      </c>
      <c r="D51" s="91" t="s">
        <v>20</v>
      </c>
      <c r="E51" s="92"/>
      <c r="F51" s="90" t="s">
        <v>320</v>
      </c>
      <c r="G51" s="91" t="s">
        <v>320</v>
      </c>
      <c r="H51" s="92"/>
      <c r="I51" s="93" t="s">
        <v>436</v>
      </c>
      <c r="J51" s="94" t="s">
        <v>441</v>
      </c>
      <c r="K51" s="95"/>
      <c r="L51" s="6">
        <f t="shared" ref="L51:L65" si="5">SUM(M51,P51,S51,V51)</f>
        <v>100000</v>
      </c>
      <c r="M51" s="31"/>
      <c r="N51" s="20"/>
      <c r="O51" s="21"/>
      <c r="P51" s="15"/>
      <c r="Q51" s="16"/>
      <c r="R51" s="17"/>
      <c r="S51" s="36"/>
      <c r="T51" s="26"/>
      <c r="U51" s="27"/>
      <c r="V51" s="25">
        <v>100000</v>
      </c>
      <c r="W51" s="26" t="s">
        <v>328</v>
      </c>
      <c r="X51" s="27" t="s">
        <v>318</v>
      </c>
      <c r="Y51" s="39"/>
    </row>
    <row r="52" spans="2:25" x14ac:dyDescent="0.4">
      <c r="B52" s="4">
        <f t="shared" ref="B52:B108" si="6">ROW(B52)-5</f>
        <v>47</v>
      </c>
      <c r="C52" s="41" t="s">
        <v>20</v>
      </c>
      <c r="D52" s="44" t="s">
        <v>20</v>
      </c>
      <c r="E52" s="43"/>
      <c r="F52" s="41" t="s">
        <v>320</v>
      </c>
      <c r="G52" s="44" t="s">
        <v>320</v>
      </c>
      <c r="H52" s="43"/>
      <c r="I52" s="47" t="s">
        <v>438</v>
      </c>
      <c r="J52" s="49" t="s">
        <v>441</v>
      </c>
      <c r="K52" s="48"/>
      <c r="L52" s="5">
        <f t="shared" si="5"/>
        <v>100000</v>
      </c>
      <c r="M52" s="30"/>
      <c r="N52" s="18"/>
      <c r="O52" s="19"/>
      <c r="P52" s="12"/>
      <c r="Q52" s="13"/>
      <c r="R52" s="14"/>
      <c r="S52" s="35"/>
      <c r="T52" s="23"/>
      <c r="U52" s="24"/>
      <c r="V52" s="22">
        <v>100000</v>
      </c>
      <c r="W52" s="23" t="s">
        <v>328</v>
      </c>
      <c r="X52" s="24" t="s">
        <v>318</v>
      </c>
      <c r="Y52" s="38"/>
    </row>
    <row r="53" spans="2:25" x14ac:dyDescent="0.4">
      <c r="B53" s="76">
        <f t="shared" si="6"/>
        <v>48</v>
      </c>
      <c r="C53" s="69" t="s">
        <v>20</v>
      </c>
      <c r="D53" s="70" t="s">
        <v>20</v>
      </c>
      <c r="E53" s="71"/>
      <c r="F53" s="69" t="s">
        <v>320</v>
      </c>
      <c r="G53" s="70" t="s">
        <v>320</v>
      </c>
      <c r="H53" s="71"/>
      <c r="I53" s="72" t="s">
        <v>436</v>
      </c>
      <c r="J53" s="73" t="s">
        <v>442</v>
      </c>
      <c r="K53" s="74"/>
      <c r="L53" s="57">
        <f t="shared" si="5"/>
        <v>100000</v>
      </c>
      <c r="M53" s="58"/>
      <c r="N53" s="59"/>
      <c r="O53" s="60"/>
      <c r="P53" s="61"/>
      <c r="Q53" s="62"/>
      <c r="R53" s="63"/>
      <c r="S53" s="64"/>
      <c r="T53" s="65"/>
      <c r="U53" s="66"/>
      <c r="V53" s="67">
        <v>100000</v>
      </c>
      <c r="W53" s="65" t="s">
        <v>328</v>
      </c>
      <c r="X53" s="66" t="s">
        <v>318</v>
      </c>
      <c r="Y53" s="68"/>
    </row>
    <row r="54" spans="2:25" x14ac:dyDescent="0.4">
      <c r="B54" s="77">
        <f t="shared" si="6"/>
        <v>49</v>
      </c>
      <c r="C54" s="90" t="s">
        <v>20</v>
      </c>
      <c r="D54" s="91" t="s">
        <v>20</v>
      </c>
      <c r="E54" s="92"/>
      <c r="F54" s="90" t="s">
        <v>320</v>
      </c>
      <c r="G54" s="91" t="s">
        <v>320</v>
      </c>
      <c r="H54" s="92"/>
      <c r="I54" s="93" t="s">
        <v>438</v>
      </c>
      <c r="J54" s="94" t="s">
        <v>442</v>
      </c>
      <c r="K54" s="95"/>
      <c r="L54" s="6">
        <f t="shared" si="5"/>
        <v>100000</v>
      </c>
      <c r="M54" s="31"/>
      <c r="N54" s="20"/>
      <c r="O54" s="21"/>
      <c r="P54" s="15"/>
      <c r="Q54" s="16"/>
      <c r="R54" s="17"/>
      <c r="S54" s="36"/>
      <c r="T54" s="26"/>
      <c r="U54" s="27"/>
      <c r="V54" s="25">
        <v>100000</v>
      </c>
      <c r="W54" s="26" t="s">
        <v>328</v>
      </c>
      <c r="X54" s="27" t="s">
        <v>318</v>
      </c>
      <c r="Y54" s="39"/>
    </row>
    <row r="55" spans="2:25" x14ac:dyDescent="0.4">
      <c r="B55" s="4">
        <f t="shared" si="6"/>
        <v>50</v>
      </c>
      <c r="C55" s="41" t="s">
        <v>20</v>
      </c>
      <c r="D55" s="44" t="s">
        <v>20</v>
      </c>
      <c r="E55" s="43"/>
      <c r="F55" s="41" t="s">
        <v>320</v>
      </c>
      <c r="G55" s="44" t="s">
        <v>320</v>
      </c>
      <c r="H55" s="43"/>
      <c r="I55" s="47" t="s">
        <v>443</v>
      </c>
      <c r="J55" s="49" t="s">
        <v>437</v>
      </c>
      <c r="K55" s="48"/>
      <c r="L55" s="5">
        <f t="shared" si="5"/>
        <v>100000</v>
      </c>
      <c r="M55" s="30"/>
      <c r="N55" s="18"/>
      <c r="O55" s="19"/>
      <c r="P55" s="12"/>
      <c r="Q55" s="13"/>
      <c r="R55" s="14"/>
      <c r="S55" s="35"/>
      <c r="T55" s="23"/>
      <c r="U55" s="24"/>
      <c r="V55" s="22">
        <v>100000</v>
      </c>
      <c r="W55" s="23" t="s">
        <v>328</v>
      </c>
      <c r="X55" s="24" t="s">
        <v>318</v>
      </c>
      <c r="Y55" s="38"/>
    </row>
    <row r="56" spans="2:25" x14ac:dyDescent="0.4">
      <c r="B56" s="76">
        <f t="shared" si="6"/>
        <v>51</v>
      </c>
      <c r="C56" s="69" t="s">
        <v>20</v>
      </c>
      <c r="D56" s="70" t="s">
        <v>20</v>
      </c>
      <c r="E56" s="71"/>
      <c r="F56" s="69" t="s">
        <v>320</v>
      </c>
      <c r="G56" s="70" t="s">
        <v>320</v>
      </c>
      <c r="H56" s="71"/>
      <c r="I56" s="72" t="s">
        <v>443</v>
      </c>
      <c r="J56" s="73" t="s">
        <v>439</v>
      </c>
      <c r="K56" s="74"/>
      <c r="L56" s="57">
        <f t="shared" si="5"/>
        <v>100000</v>
      </c>
      <c r="M56" s="58"/>
      <c r="N56" s="59"/>
      <c r="O56" s="60"/>
      <c r="P56" s="61"/>
      <c r="Q56" s="62"/>
      <c r="R56" s="63"/>
      <c r="S56" s="64"/>
      <c r="T56" s="65"/>
      <c r="U56" s="66"/>
      <c r="V56" s="67">
        <v>100000</v>
      </c>
      <c r="W56" s="65" t="s">
        <v>328</v>
      </c>
      <c r="X56" s="66" t="s">
        <v>318</v>
      </c>
      <c r="Y56" s="68"/>
    </row>
    <row r="57" spans="2:25" x14ac:dyDescent="0.4">
      <c r="B57" s="77">
        <f t="shared" si="6"/>
        <v>52</v>
      </c>
      <c r="C57" s="90" t="s">
        <v>20</v>
      </c>
      <c r="D57" s="91" t="s">
        <v>20</v>
      </c>
      <c r="E57" s="92"/>
      <c r="F57" s="90" t="s">
        <v>320</v>
      </c>
      <c r="G57" s="91" t="s">
        <v>320</v>
      </c>
      <c r="H57" s="92"/>
      <c r="I57" s="93" t="s">
        <v>443</v>
      </c>
      <c r="J57" s="94" t="s">
        <v>440</v>
      </c>
      <c r="K57" s="95"/>
      <c r="L57" s="6">
        <f>SUM(M57,P57,S57,V57)</f>
        <v>100000</v>
      </c>
      <c r="M57" s="31"/>
      <c r="N57" s="20"/>
      <c r="O57" s="21"/>
      <c r="P57" s="15"/>
      <c r="Q57" s="16"/>
      <c r="R57" s="17"/>
      <c r="S57" s="36"/>
      <c r="T57" s="26"/>
      <c r="U57" s="27"/>
      <c r="V57" s="25">
        <v>100000</v>
      </c>
      <c r="W57" s="26" t="s">
        <v>328</v>
      </c>
      <c r="X57" s="27" t="s">
        <v>318</v>
      </c>
      <c r="Y57" s="39"/>
    </row>
    <row r="58" spans="2:25" x14ac:dyDescent="0.4">
      <c r="B58" s="4">
        <f t="shared" si="6"/>
        <v>53</v>
      </c>
      <c r="C58" s="41" t="s">
        <v>20</v>
      </c>
      <c r="D58" s="44" t="s">
        <v>20</v>
      </c>
      <c r="E58" s="43"/>
      <c r="F58" s="41" t="s">
        <v>320</v>
      </c>
      <c r="G58" s="44" t="s">
        <v>320</v>
      </c>
      <c r="H58" s="43"/>
      <c r="I58" s="47" t="s">
        <v>443</v>
      </c>
      <c r="J58" s="49" t="s">
        <v>441</v>
      </c>
      <c r="K58" s="48"/>
      <c r="L58" s="5">
        <f t="shared" si="5"/>
        <v>100000</v>
      </c>
      <c r="M58" s="30"/>
      <c r="N58" s="18"/>
      <c r="O58" s="19"/>
      <c r="P58" s="12"/>
      <c r="Q58" s="13"/>
      <c r="R58" s="14"/>
      <c r="S58" s="35"/>
      <c r="T58" s="23"/>
      <c r="U58" s="24"/>
      <c r="V58" s="22">
        <v>100000</v>
      </c>
      <c r="W58" s="23" t="s">
        <v>328</v>
      </c>
      <c r="X58" s="24" t="s">
        <v>318</v>
      </c>
      <c r="Y58" s="38"/>
    </row>
    <row r="59" spans="2:25" x14ac:dyDescent="0.4">
      <c r="B59" s="76">
        <f t="shared" si="6"/>
        <v>54</v>
      </c>
      <c r="C59" s="69" t="s">
        <v>20</v>
      </c>
      <c r="D59" s="70" t="s">
        <v>20</v>
      </c>
      <c r="E59" s="71"/>
      <c r="F59" s="69" t="s">
        <v>320</v>
      </c>
      <c r="G59" s="70" t="s">
        <v>320</v>
      </c>
      <c r="H59" s="71"/>
      <c r="I59" s="72" t="s">
        <v>443</v>
      </c>
      <c r="J59" s="73" t="s">
        <v>442</v>
      </c>
      <c r="K59" s="74"/>
      <c r="L59" s="57">
        <f t="shared" si="5"/>
        <v>100000</v>
      </c>
      <c r="M59" s="58"/>
      <c r="N59" s="59"/>
      <c r="O59" s="60"/>
      <c r="P59" s="61"/>
      <c r="Q59" s="62"/>
      <c r="R59" s="63"/>
      <c r="S59" s="64"/>
      <c r="T59" s="65"/>
      <c r="U59" s="66"/>
      <c r="V59" s="67">
        <v>100000</v>
      </c>
      <c r="W59" s="65" t="s">
        <v>328</v>
      </c>
      <c r="X59" s="66" t="s">
        <v>318</v>
      </c>
      <c r="Y59" s="68"/>
    </row>
    <row r="60" spans="2:25" x14ac:dyDescent="0.4">
      <c r="B60" s="77">
        <f t="shared" si="6"/>
        <v>55</v>
      </c>
      <c r="C60" s="90" t="s">
        <v>20</v>
      </c>
      <c r="D60" s="91" t="s">
        <v>20</v>
      </c>
      <c r="E60" s="92"/>
      <c r="F60" s="90" t="s">
        <v>320</v>
      </c>
      <c r="G60" s="91" t="s">
        <v>320</v>
      </c>
      <c r="H60" s="92"/>
      <c r="I60" s="93" t="s">
        <v>444</v>
      </c>
      <c r="J60" s="94" t="s">
        <v>437</v>
      </c>
      <c r="K60" s="95"/>
      <c r="L60" s="6">
        <f t="shared" si="5"/>
        <v>100000</v>
      </c>
      <c r="M60" s="31"/>
      <c r="N60" s="20"/>
      <c r="O60" s="21"/>
      <c r="P60" s="15"/>
      <c r="Q60" s="16"/>
      <c r="R60" s="17"/>
      <c r="S60" s="36"/>
      <c r="T60" s="26"/>
      <c r="U60" s="27"/>
      <c r="V60" s="25">
        <v>100000</v>
      </c>
      <c r="W60" s="26" t="s">
        <v>328</v>
      </c>
      <c r="X60" s="27" t="s">
        <v>318</v>
      </c>
      <c r="Y60" s="39"/>
    </row>
    <row r="61" spans="2:25" x14ac:dyDescent="0.4">
      <c r="B61" s="4">
        <f t="shared" si="6"/>
        <v>56</v>
      </c>
      <c r="C61" s="41" t="s">
        <v>20</v>
      </c>
      <c r="D61" s="44" t="s">
        <v>20</v>
      </c>
      <c r="E61" s="43"/>
      <c r="F61" s="41" t="s">
        <v>320</v>
      </c>
      <c r="G61" s="44" t="s">
        <v>320</v>
      </c>
      <c r="H61" s="43"/>
      <c r="I61" s="47" t="s">
        <v>444</v>
      </c>
      <c r="J61" s="49" t="s">
        <v>439</v>
      </c>
      <c r="K61" s="48"/>
      <c r="L61" s="5">
        <f t="shared" si="5"/>
        <v>100000</v>
      </c>
      <c r="M61" s="30"/>
      <c r="N61" s="18"/>
      <c r="O61" s="19"/>
      <c r="P61" s="12"/>
      <c r="Q61" s="13"/>
      <c r="R61" s="14"/>
      <c r="S61" s="35"/>
      <c r="T61" s="23"/>
      <c r="U61" s="24"/>
      <c r="V61" s="22">
        <v>100000</v>
      </c>
      <c r="W61" s="23" t="s">
        <v>328</v>
      </c>
      <c r="X61" s="24" t="s">
        <v>318</v>
      </c>
      <c r="Y61" s="38"/>
    </row>
    <row r="62" spans="2:25" x14ac:dyDescent="0.4">
      <c r="B62" s="76">
        <f t="shared" si="6"/>
        <v>57</v>
      </c>
      <c r="C62" s="69" t="s">
        <v>20</v>
      </c>
      <c r="D62" s="70" t="s">
        <v>20</v>
      </c>
      <c r="E62" s="71"/>
      <c r="F62" s="69" t="s">
        <v>320</v>
      </c>
      <c r="G62" s="70" t="s">
        <v>320</v>
      </c>
      <c r="H62" s="71"/>
      <c r="I62" s="72" t="s">
        <v>444</v>
      </c>
      <c r="J62" s="73" t="s">
        <v>440</v>
      </c>
      <c r="K62" s="74"/>
      <c r="L62" s="57">
        <f t="shared" si="5"/>
        <v>100000</v>
      </c>
      <c r="M62" s="58"/>
      <c r="N62" s="59"/>
      <c r="O62" s="60"/>
      <c r="P62" s="61"/>
      <c r="Q62" s="62"/>
      <c r="R62" s="63"/>
      <c r="S62" s="64"/>
      <c r="T62" s="65"/>
      <c r="U62" s="66"/>
      <c r="V62" s="67">
        <v>100000</v>
      </c>
      <c r="W62" s="65" t="s">
        <v>328</v>
      </c>
      <c r="X62" s="66" t="s">
        <v>318</v>
      </c>
      <c r="Y62" s="68"/>
    </row>
    <row r="63" spans="2:25" x14ac:dyDescent="0.4">
      <c r="B63" s="77">
        <f t="shared" si="6"/>
        <v>58</v>
      </c>
      <c r="C63" s="90" t="s">
        <v>20</v>
      </c>
      <c r="D63" s="91" t="s">
        <v>20</v>
      </c>
      <c r="E63" s="92"/>
      <c r="F63" s="90" t="s">
        <v>320</v>
      </c>
      <c r="G63" s="91" t="s">
        <v>320</v>
      </c>
      <c r="H63" s="92"/>
      <c r="I63" s="93" t="s">
        <v>444</v>
      </c>
      <c r="J63" s="94" t="s">
        <v>441</v>
      </c>
      <c r="K63" s="95"/>
      <c r="L63" s="6">
        <f t="shared" si="5"/>
        <v>100000</v>
      </c>
      <c r="M63" s="31"/>
      <c r="N63" s="20"/>
      <c r="O63" s="21"/>
      <c r="P63" s="15"/>
      <c r="Q63" s="16"/>
      <c r="R63" s="17"/>
      <c r="S63" s="36"/>
      <c r="T63" s="26"/>
      <c r="U63" s="27"/>
      <c r="V63" s="25">
        <v>100000</v>
      </c>
      <c r="W63" s="26" t="s">
        <v>328</v>
      </c>
      <c r="X63" s="27" t="s">
        <v>318</v>
      </c>
      <c r="Y63" s="39"/>
    </row>
    <row r="64" spans="2:25" x14ac:dyDescent="0.4">
      <c r="B64" s="4">
        <f t="shared" si="6"/>
        <v>59</v>
      </c>
      <c r="C64" s="41" t="s">
        <v>20</v>
      </c>
      <c r="D64" s="44" t="s">
        <v>20</v>
      </c>
      <c r="E64" s="43"/>
      <c r="F64" s="41" t="s">
        <v>320</v>
      </c>
      <c r="G64" s="44" t="s">
        <v>320</v>
      </c>
      <c r="H64" s="43"/>
      <c r="I64" s="47" t="s">
        <v>444</v>
      </c>
      <c r="J64" s="49" t="s">
        <v>442</v>
      </c>
      <c r="K64" s="48"/>
      <c r="L64" s="5">
        <f t="shared" si="5"/>
        <v>100000</v>
      </c>
      <c r="M64" s="30"/>
      <c r="N64" s="18"/>
      <c r="O64" s="19"/>
      <c r="P64" s="12"/>
      <c r="Q64" s="13"/>
      <c r="R64" s="14"/>
      <c r="S64" s="35"/>
      <c r="T64" s="23"/>
      <c r="U64" s="24"/>
      <c r="V64" s="22">
        <v>100000</v>
      </c>
      <c r="W64" s="23" t="s">
        <v>328</v>
      </c>
      <c r="X64" s="24" t="s">
        <v>318</v>
      </c>
      <c r="Y64" s="38"/>
    </row>
    <row r="65" spans="2:25" x14ac:dyDescent="0.4">
      <c r="B65" s="76">
        <f t="shared" si="6"/>
        <v>60</v>
      </c>
      <c r="C65" s="69" t="s">
        <v>20</v>
      </c>
      <c r="D65" s="70" t="s">
        <v>20</v>
      </c>
      <c r="E65" s="71"/>
      <c r="F65" s="69" t="s">
        <v>320</v>
      </c>
      <c r="G65" s="70" t="s">
        <v>320</v>
      </c>
      <c r="H65" s="71"/>
      <c r="I65" s="72" t="s">
        <v>445</v>
      </c>
      <c r="J65" s="73" t="s">
        <v>437</v>
      </c>
      <c r="K65" s="74"/>
      <c r="L65" s="57">
        <f t="shared" si="5"/>
        <v>100000</v>
      </c>
      <c r="M65" s="58"/>
      <c r="N65" s="59"/>
      <c r="O65" s="60"/>
      <c r="P65" s="61"/>
      <c r="Q65" s="62"/>
      <c r="R65" s="63"/>
      <c r="S65" s="64"/>
      <c r="T65" s="65"/>
      <c r="U65" s="66"/>
      <c r="V65" s="67">
        <v>100000</v>
      </c>
      <c r="W65" s="65" t="s">
        <v>328</v>
      </c>
      <c r="X65" s="66" t="s">
        <v>318</v>
      </c>
      <c r="Y65" s="68"/>
    </row>
    <row r="66" spans="2:25" x14ac:dyDescent="0.4">
      <c r="B66" s="77">
        <f t="shared" si="6"/>
        <v>61</v>
      </c>
      <c r="C66" s="90" t="s">
        <v>20</v>
      </c>
      <c r="D66" s="91" t="s">
        <v>20</v>
      </c>
      <c r="E66" s="92"/>
      <c r="F66" s="90" t="s">
        <v>320</v>
      </c>
      <c r="G66" s="91" t="s">
        <v>320</v>
      </c>
      <c r="H66" s="92"/>
      <c r="I66" s="93" t="s">
        <v>445</v>
      </c>
      <c r="J66" s="94" t="s">
        <v>439</v>
      </c>
      <c r="K66" s="95"/>
      <c r="L66" s="6">
        <f>SUM(M66,P66,S66,V66)</f>
        <v>100000</v>
      </c>
      <c r="M66" s="31"/>
      <c r="N66" s="20"/>
      <c r="O66" s="21"/>
      <c r="P66" s="15"/>
      <c r="Q66" s="16"/>
      <c r="R66" s="17"/>
      <c r="S66" s="36"/>
      <c r="T66" s="26"/>
      <c r="U66" s="27"/>
      <c r="V66" s="25">
        <v>100000</v>
      </c>
      <c r="W66" s="26" t="s">
        <v>328</v>
      </c>
      <c r="X66" s="27" t="s">
        <v>318</v>
      </c>
      <c r="Y66" s="39"/>
    </row>
    <row r="67" spans="2:25" x14ac:dyDescent="0.4">
      <c r="B67" s="4">
        <f t="shared" si="6"/>
        <v>62</v>
      </c>
      <c r="C67" s="41" t="s">
        <v>20</v>
      </c>
      <c r="D67" s="44" t="s">
        <v>20</v>
      </c>
      <c r="E67" s="43"/>
      <c r="F67" s="41" t="s">
        <v>320</v>
      </c>
      <c r="G67" s="44" t="s">
        <v>320</v>
      </c>
      <c r="H67" s="43"/>
      <c r="I67" s="47" t="s">
        <v>445</v>
      </c>
      <c r="J67" s="49" t="s">
        <v>440</v>
      </c>
      <c r="K67" s="48"/>
      <c r="L67" s="5">
        <f t="shared" ref="L67:L101" si="7">SUM(M67,P67,S67,V67)</f>
        <v>100000</v>
      </c>
      <c r="M67" s="30"/>
      <c r="N67" s="18"/>
      <c r="O67" s="19"/>
      <c r="P67" s="12"/>
      <c r="Q67" s="13"/>
      <c r="R67" s="14"/>
      <c r="S67" s="35"/>
      <c r="T67" s="23"/>
      <c r="U67" s="24"/>
      <c r="V67" s="22">
        <v>100000</v>
      </c>
      <c r="W67" s="23" t="s">
        <v>328</v>
      </c>
      <c r="X67" s="24" t="s">
        <v>318</v>
      </c>
      <c r="Y67" s="38"/>
    </row>
    <row r="68" spans="2:25" x14ac:dyDescent="0.4">
      <c r="B68" s="76">
        <f t="shared" si="6"/>
        <v>63</v>
      </c>
      <c r="C68" s="69" t="s">
        <v>20</v>
      </c>
      <c r="D68" s="70" t="s">
        <v>20</v>
      </c>
      <c r="E68" s="71"/>
      <c r="F68" s="69" t="s">
        <v>320</v>
      </c>
      <c r="G68" s="70" t="s">
        <v>320</v>
      </c>
      <c r="H68" s="71"/>
      <c r="I68" s="72" t="s">
        <v>445</v>
      </c>
      <c r="J68" s="73" t="s">
        <v>441</v>
      </c>
      <c r="K68" s="74"/>
      <c r="L68" s="57">
        <f t="shared" si="7"/>
        <v>100000</v>
      </c>
      <c r="M68" s="58"/>
      <c r="N68" s="59"/>
      <c r="O68" s="60"/>
      <c r="P68" s="61"/>
      <c r="Q68" s="62"/>
      <c r="R68" s="63"/>
      <c r="S68" s="64"/>
      <c r="T68" s="65"/>
      <c r="U68" s="66"/>
      <c r="V68" s="67">
        <v>100000</v>
      </c>
      <c r="W68" s="65" t="s">
        <v>328</v>
      </c>
      <c r="X68" s="66" t="s">
        <v>318</v>
      </c>
      <c r="Y68" s="68"/>
    </row>
    <row r="69" spans="2:25" x14ac:dyDescent="0.4">
      <c r="B69" s="77">
        <f t="shared" si="6"/>
        <v>64</v>
      </c>
      <c r="C69" s="90" t="s">
        <v>20</v>
      </c>
      <c r="D69" s="91" t="s">
        <v>20</v>
      </c>
      <c r="E69" s="92"/>
      <c r="F69" s="90" t="s">
        <v>320</v>
      </c>
      <c r="G69" s="91" t="s">
        <v>320</v>
      </c>
      <c r="H69" s="92"/>
      <c r="I69" s="93" t="s">
        <v>445</v>
      </c>
      <c r="J69" s="94" t="s">
        <v>442</v>
      </c>
      <c r="K69" s="95"/>
      <c r="L69" s="6">
        <f t="shared" si="7"/>
        <v>100000</v>
      </c>
      <c r="M69" s="31"/>
      <c r="N69" s="20"/>
      <c r="O69" s="21"/>
      <c r="P69" s="15"/>
      <c r="Q69" s="16"/>
      <c r="R69" s="17"/>
      <c r="S69" s="36"/>
      <c r="T69" s="26"/>
      <c r="U69" s="27"/>
      <c r="V69" s="25">
        <v>100000</v>
      </c>
      <c r="W69" s="26" t="s">
        <v>328</v>
      </c>
      <c r="X69" s="27" t="s">
        <v>318</v>
      </c>
      <c r="Y69" s="39"/>
    </row>
    <row r="70" spans="2:25" x14ac:dyDescent="0.4">
      <c r="B70" s="4">
        <f t="shared" si="6"/>
        <v>65</v>
      </c>
      <c r="C70" s="41" t="s">
        <v>20</v>
      </c>
      <c r="D70" s="44" t="s">
        <v>20</v>
      </c>
      <c r="E70" s="43"/>
      <c r="F70" s="41" t="s">
        <v>320</v>
      </c>
      <c r="G70" s="44" t="s">
        <v>320</v>
      </c>
      <c r="H70" s="43"/>
      <c r="I70" s="47" t="s">
        <v>446</v>
      </c>
      <c r="J70" s="49" t="s">
        <v>437</v>
      </c>
      <c r="K70" s="48"/>
      <c r="L70" s="5">
        <f t="shared" si="7"/>
        <v>100000</v>
      </c>
      <c r="M70" s="30"/>
      <c r="N70" s="18"/>
      <c r="O70" s="19"/>
      <c r="P70" s="12"/>
      <c r="Q70" s="13"/>
      <c r="R70" s="14"/>
      <c r="S70" s="35"/>
      <c r="T70" s="23"/>
      <c r="U70" s="24"/>
      <c r="V70" s="22">
        <v>100000</v>
      </c>
      <c r="W70" s="23" t="s">
        <v>328</v>
      </c>
      <c r="X70" s="24" t="s">
        <v>318</v>
      </c>
      <c r="Y70" s="38"/>
    </row>
    <row r="71" spans="2:25" x14ac:dyDescent="0.4">
      <c r="B71" s="76">
        <f t="shared" si="6"/>
        <v>66</v>
      </c>
      <c r="C71" s="69" t="s">
        <v>20</v>
      </c>
      <c r="D71" s="70" t="s">
        <v>20</v>
      </c>
      <c r="E71" s="71"/>
      <c r="F71" s="69" t="s">
        <v>320</v>
      </c>
      <c r="G71" s="70" t="s">
        <v>320</v>
      </c>
      <c r="H71" s="71"/>
      <c r="I71" s="72" t="s">
        <v>446</v>
      </c>
      <c r="J71" s="73" t="s">
        <v>439</v>
      </c>
      <c r="K71" s="74"/>
      <c r="L71" s="57">
        <f t="shared" si="7"/>
        <v>100000</v>
      </c>
      <c r="M71" s="58"/>
      <c r="N71" s="59"/>
      <c r="O71" s="60"/>
      <c r="P71" s="61"/>
      <c r="Q71" s="62"/>
      <c r="R71" s="63"/>
      <c r="S71" s="64"/>
      <c r="T71" s="65"/>
      <c r="U71" s="66"/>
      <c r="V71" s="67">
        <v>100000</v>
      </c>
      <c r="W71" s="65" t="s">
        <v>328</v>
      </c>
      <c r="X71" s="66" t="s">
        <v>318</v>
      </c>
      <c r="Y71" s="68"/>
    </row>
    <row r="72" spans="2:25" x14ac:dyDescent="0.4">
      <c r="B72" s="77">
        <f t="shared" si="6"/>
        <v>67</v>
      </c>
      <c r="C72" s="90" t="s">
        <v>20</v>
      </c>
      <c r="D72" s="91" t="s">
        <v>20</v>
      </c>
      <c r="E72" s="92"/>
      <c r="F72" s="90" t="s">
        <v>320</v>
      </c>
      <c r="G72" s="91" t="s">
        <v>320</v>
      </c>
      <c r="H72" s="92"/>
      <c r="I72" s="93" t="s">
        <v>446</v>
      </c>
      <c r="J72" s="94" t="s">
        <v>440</v>
      </c>
      <c r="K72" s="95"/>
      <c r="L72" s="6">
        <f t="shared" si="7"/>
        <v>100000</v>
      </c>
      <c r="M72" s="31"/>
      <c r="N72" s="20"/>
      <c r="O72" s="21"/>
      <c r="P72" s="15"/>
      <c r="Q72" s="16"/>
      <c r="R72" s="17"/>
      <c r="S72" s="36"/>
      <c r="T72" s="26"/>
      <c r="U72" s="27"/>
      <c r="V72" s="25">
        <v>100000</v>
      </c>
      <c r="W72" s="26" t="s">
        <v>328</v>
      </c>
      <c r="X72" s="27" t="s">
        <v>318</v>
      </c>
      <c r="Y72" s="39"/>
    </row>
    <row r="73" spans="2:25" x14ac:dyDescent="0.4">
      <c r="B73" s="4">
        <f t="shared" si="6"/>
        <v>68</v>
      </c>
      <c r="C73" s="41" t="s">
        <v>20</v>
      </c>
      <c r="D73" s="44" t="s">
        <v>20</v>
      </c>
      <c r="E73" s="43"/>
      <c r="F73" s="41" t="s">
        <v>320</v>
      </c>
      <c r="G73" s="44" t="s">
        <v>320</v>
      </c>
      <c r="H73" s="43"/>
      <c r="I73" s="47" t="s">
        <v>446</v>
      </c>
      <c r="J73" s="49" t="s">
        <v>441</v>
      </c>
      <c r="K73" s="48"/>
      <c r="L73" s="5">
        <f t="shared" si="7"/>
        <v>100000</v>
      </c>
      <c r="M73" s="30"/>
      <c r="N73" s="18"/>
      <c r="O73" s="19"/>
      <c r="P73" s="12"/>
      <c r="Q73" s="13"/>
      <c r="R73" s="14"/>
      <c r="S73" s="35"/>
      <c r="T73" s="23"/>
      <c r="U73" s="24"/>
      <c r="V73" s="22">
        <v>100000</v>
      </c>
      <c r="W73" s="23" t="s">
        <v>328</v>
      </c>
      <c r="X73" s="24" t="s">
        <v>318</v>
      </c>
      <c r="Y73" s="38"/>
    </row>
    <row r="74" spans="2:25" x14ac:dyDescent="0.4">
      <c r="B74" s="76">
        <f t="shared" si="6"/>
        <v>69</v>
      </c>
      <c r="C74" s="69" t="s">
        <v>20</v>
      </c>
      <c r="D74" s="70" t="s">
        <v>20</v>
      </c>
      <c r="E74" s="71"/>
      <c r="F74" s="69" t="s">
        <v>320</v>
      </c>
      <c r="G74" s="70" t="s">
        <v>320</v>
      </c>
      <c r="H74" s="71"/>
      <c r="I74" s="72" t="s">
        <v>446</v>
      </c>
      <c r="J74" s="73" t="s">
        <v>442</v>
      </c>
      <c r="K74" s="74"/>
      <c r="L74" s="57">
        <f t="shared" si="7"/>
        <v>100000</v>
      </c>
      <c r="M74" s="58"/>
      <c r="N74" s="59"/>
      <c r="O74" s="60"/>
      <c r="P74" s="61"/>
      <c r="Q74" s="62"/>
      <c r="R74" s="63"/>
      <c r="S74" s="64"/>
      <c r="T74" s="65"/>
      <c r="U74" s="66"/>
      <c r="V74" s="67">
        <v>100000</v>
      </c>
      <c r="W74" s="65" t="s">
        <v>328</v>
      </c>
      <c r="X74" s="66" t="s">
        <v>318</v>
      </c>
      <c r="Y74" s="68"/>
    </row>
    <row r="75" spans="2:25" x14ac:dyDescent="0.4">
      <c r="B75" s="77">
        <f t="shared" si="6"/>
        <v>70</v>
      </c>
      <c r="C75" s="90" t="s">
        <v>20</v>
      </c>
      <c r="D75" s="91" t="s">
        <v>20</v>
      </c>
      <c r="E75" s="92"/>
      <c r="F75" s="90" t="s">
        <v>320</v>
      </c>
      <c r="G75" s="91" t="s">
        <v>320</v>
      </c>
      <c r="H75" s="92"/>
      <c r="I75" s="93" t="s">
        <v>447</v>
      </c>
      <c r="J75" s="94" t="s">
        <v>437</v>
      </c>
      <c r="K75" s="95"/>
      <c r="L75" s="6">
        <f t="shared" si="7"/>
        <v>100000</v>
      </c>
      <c r="M75" s="31"/>
      <c r="N75" s="20"/>
      <c r="O75" s="21"/>
      <c r="P75" s="15"/>
      <c r="Q75" s="16"/>
      <c r="R75" s="17"/>
      <c r="S75" s="36"/>
      <c r="T75" s="26"/>
      <c r="U75" s="27"/>
      <c r="V75" s="25">
        <v>100000</v>
      </c>
      <c r="W75" s="26" t="s">
        <v>328</v>
      </c>
      <c r="X75" s="27" t="s">
        <v>318</v>
      </c>
      <c r="Y75" s="39"/>
    </row>
    <row r="76" spans="2:25" x14ac:dyDescent="0.4">
      <c r="B76" s="4">
        <f t="shared" si="6"/>
        <v>71</v>
      </c>
      <c r="C76" s="41" t="s">
        <v>20</v>
      </c>
      <c r="D76" s="44" t="s">
        <v>20</v>
      </c>
      <c r="E76" s="43"/>
      <c r="F76" s="41" t="s">
        <v>320</v>
      </c>
      <c r="G76" s="44" t="s">
        <v>320</v>
      </c>
      <c r="H76" s="43"/>
      <c r="I76" s="47" t="s">
        <v>447</v>
      </c>
      <c r="J76" s="49" t="s">
        <v>439</v>
      </c>
      <c r="K76" s="48"/>
      <c r="L76" s="5">
        <f t="shared" si="7"/>
        <v>100000</v>
      </c>
      <c r="M76" s="30"/>
      <c r="N76" s="18"/>
      <c r="O76" s="19"/>
      <c r="P76" s="12"/>
      <c r="Q76" s="13"/>
      <c r="R76" s="14"/>
      <c r="S76" s="35"/>
      <c r="T76" s="23"/>
      <c r="U76" s="24"/>
      <c r="V76" s="22">
        <v>100000</v>
      </c>
      <c r="W76" s="23" t="s">
        <v>328</v>
      </c>
      <c r="X76" s="24" t="s">
        <v>318</v>
      </c>
      <c r="Y76" s="38"/>
    </row>
    <row r="77" spans="2:25" x14ac:dyDescent="0.4">
      <c r="B77" s="76">
        <f t="shared" si="6"/>
        <v>72</v>
      </c>
      <c r="C77" s="69" t="s">
        <v>20</v>
      </c>
      <c r="D77" s="70" t="s">
        <v>20</v>
      </c>
      <c r="E77" s="71"/>
      <c r="F77" s="69" t="s">
        <v>320</v>
      </c>
      <c r="G77" s="70" t="s">
        <v>320</v>
      </c>
      <c r="H77" s="71"/>
      <c r="I77" s="72" t="s">
        <v>447</v>
      </c>
      <c r="J77" s="73" t="s">
        <v>440</v>
      </c>
      <c r="K77" s="74"/>
      <c r="L77" s="57">
        <f t="shared" si="7"/>
        <v>100000</v>
      </c>
      <c r="M77" s="58"/>
      <c r="N77" s="59"/>
      <c r="O77" s="60"/>
      <c r="P77" s="61"/>
      <c r="Q77" s="62"/>
      <c r="R77" s="63"/>
      <c r="S77" s="64"/>
      <c r="T77" s="65"/>
      <c r="U77" s="66"/>
      <c r="V77" s="67">
        <v>100000</v>
      </c>
      <c r="W77" s="65" t="s">
        <v>328</v>
      </c>
      <c r="X77" s="66" t="s">
        <v>318</v>
      </c>
      <c r="Y77" s="68"/>
    </row>
    <row r="78" spans="2:25" x14ac:dyDescent="0.4">
      <c r="B78" s="77">
        <f t="shared" si="6"/>
        <v>73</v>
      </c>
      <c r="C78" s="90" t="s">
        <v>20</v>
      </c>
      <c r="D78" s="91" t="s">
        <v>20</v>
      </c>
      <c r="E78" s="92"/>
      <c r="F78" s="90" t="s">
        <v>320</v>
      </c>
      <c r="G78" s="91" t="s">
        <v>320</v>
      </c>
      <c r="H78" s="92"/>
      <c r="I78" s="93" t="s">
        <v>447</v>
      </c>
      <c r="J78" s="94" t="s">
        <v>441</v>
      </c>
      <c r="K78" s="95"/>
      <c r="L78" s="6">
        <f t="shared" si="7"/>
        <v>100000</v>
      </c>
      <c r="M78" s="31"/>
      <c r="N78" s="20"/>
      <c r="O78" s="21"/>
      <c r="P78" s="15"/>
      <c r="Q78" s="16"/>
      <c r="R78" s="17"/>
      <c r="S78" s="36"/>
      <c r="T78" s="26"/>
      <c r="U78" s="27"/>
      <c r="V78" s="25">
        <v>100000</v>
      </c>
      <c r="W78" s="26" t="s">
        <v>328</v>
      </c>
      <c r="X78" s="27" t="s">
        <v>318</v>
      </c>
      <c r="Y78" s="39"/>
    </row>
    <row r="79" spans="2:25" x14ac:dyDescent="0.4">
      <c r="B79" s="4">
        <f t="shared" si="6"/>
        <v>74</v>
      </c>
      <c r="C79" s="41" t="s">
        <v>20</v>
      </c>
      <c r="D79" s="44" t="s">
        <v>20</v>
      </c>
      <c r="E79" s="43"/>
      <c r="F79" s="41" t="s">
        <v>320</v>
      </c>
      <c r="G79" s="44" t="s">
        <v>320</v>
      </c>
      <c r="H79" s="43"/>
      <c r="I79" s="47" t="s">
        <v>447</v>
      </c>
      <c r="J79" s="49" t="s">
        <v>442</v>
      </c>
      <c r="K79" s="48"/>
      <c r="L79" s="5">
        <f t="shared" si="7"/>
        <v>100000</v>
      </c>
      <c r="M79" s="30"/>
      <c r="N79" s="18"/>
      <c r="O79" s="19"/>
      <c r="P79" s="12"/>
      <c r="Q79" s="13"/>
      <c r="R79" s="14"/>
      <c r="S79" s="35"/>
      <c r="T79" s="23"/>
      <c r="U79" s="24"/>
      <c r="V79" s="22">
        <v>100000</v>
      </c>
      <c r="W79" s="23" t="s">
        <v>328</v>
      </c>
      <c r="X79" s="24" t="s">
        <v>318</v>
      </c>
      <c r="Y79" s="38"/>
    </row>
    <row r="80" spans="2:25" x14ac:dyDescent="0.4">
      <c r="B80" s="76">
        <f t="shared" si="6"/>
        <v>75</v>
      </c>
      <c r="C80" s="69" t="s">
        <v>20</v>
      </c>
      <c r="D80" s="70" t="s">
        <v>20</v>
      </c>
      <c r="E80" s="71"/>
      <c r="F80" s="69" t="s">
        <v>320</v>
      </c>
      <c r="G80" s="70" t="s">
        <v>320</v>
      </c>
      <c r="H80" s="71"/>
      <c r="I80" s="72" t="s">
        <v>448</v>
      </c>
      <c r="J80" s="73" t="s">
        <v>437</v>
      </c>
      <c r="K80" s="74"/>
      <c r="L80" s="57">
        <f t="shared" si="7"/>
        <v>100000</v>
      </c>
      <c r="M80" s="58"/>
      <c r="N80" s="59"/>
      <c r="O80" s="60"/>
      <c r="P80" s="61"/>
      <c r="Q80" s="62"/>
      <c r="R80" s="63"/>
      <c r="S80" s="64"/>
      <c r="T80" s="65"/>
      <c r="U80" s="66"/>
      <c r="V80" s="67">
        <v>100000</v>
      </c>
      <c r="W80" s="65" t="s">
        <v>328</v>
      </c>
      <c r="X80" s="66" t="s">
        <v>318</v>
      </c>
      <c r="Y80" s="68"/>
    </row>
    <row r="81" spans="2:25" x14ac:dyDescent="0.4">
      <c r="B81" s="77">
        <f t="shared" si="6"/>
        <v>76</v>
      </c>
      <c r="C81" s="90" t="s">
        <v>20</v>
      </c>
      <c r="D81" s="91" t="s">
        <v>20</v>
      </c>
      <c r="E81" s="92"/>
      <c r="F81" s="90" t="s">
        <v>320</v>
      </c>
      <c r="G81" s="91" t="s">
        <v>320</v>
      </c>
      <c r="H81" s="92"/>
      <c r="I81" s="93" t="s">
        <v>448</v>
      </c>
      <c r="J81" s="94" t="s">
        <v>439</v>
      </c>
      <c r="K81" s="95"/>
      <c r="L81" s="6">
        <f t="shared" si="7"/>
        <v>100000</v>
      </c>
      <c r="M81" s="31"/>
      <c r="N81" s="20"/>
      <c r="O81" s="21"/>
      <c r="P81" s="15"/>
      <c r="Q81" s="16"/>
      <c r="R81" s="17"/>
      <c r="S81" s="36"/>
      <c r="T81" s="26"/>
      <c r="U81" s="27"/>
      <c r="V81" s="25">
        <v>100000</v>
      </c>
      <c r="W81" s="26" t="s">
        <v>328</v>
      </c>
      <c r="X81" s="27" t="s">
        <v>318</v>
      </c>
      <c r="Y81" s="39"/>
    </row>
    <row r="82" spans="2:25" x14ac:dyDescent="0.4">
      <c r="B82" s="4">
        <f t="shared" si="6"/>
        <v>77</v>
      </c>
      <c r="C82" s="41" t="s">
        <v>20</v>
      </c>
      <c r="D82" s="44" t="s">
        <v>20</v>
      </c>
      <c r="E82" s="43"/>
      <c r="F82" s="41" t="s">
        <v>320</v>
      </c>
      <c r="G82" s="44" t="s">
        <v>320</v>
      </c>
      <c r="H82" s="43"/>
      <c r="I82" s="47" t="s">
        <v>448</v>
      </c>
      <c r="J82" s="49" t="s">
        <v>440</v>
      </c>
      <c r="K82" s="48"/>
      <c r="L82" s="5">
        <f t="shared" si="7"/>
        <v>100000</v>
      </c>
      <c r="M82" s="30"/>
      <c r="N82" s="18"/>
      <c r="O82" s="19"/>
      <c r="P82" s="12"/>
      <c r="Q82" s="13"/>
      <c r="R82" s="14"/>
      <c r="S82" s="35"/>
      <c r="T82" s="23"/>
      <c r="U82" s="24"/>
      <c r="V82" s="22">
        <v>100000</v>
      </c>
      <c r="W82" s="23" t="s">
        <v>328</v>
      </c>
      <c r="X82" s="24" t="s">
        <v>318</v>
      </c>
      <c r="Y82" s="38"/>
    </row>
    <row r="83" spans="2:25" x14ac:dyDescent="0.4">
      <c r="B83" s="76">
        <f t="shared" si="6"/>
        <v>78</v>
      </c>
      <c r="C83" s="69" t="s">
        <v>20</v>
      </c>
      <c r="D83" s="70" t="s">
        <v>20</v>
      </c>
      <c r="E83" s="71"/>
      <c r="F83" s="69" t="s">
        <v>320</v>
      </c>
      <c r="G83" s="70" t="s">
        <v>320</v>
      </c>
      <c r="H83" s="71"/>
      <c r="I83" s="72" t="s">
        <v>448</v>
      </c>
      <c r="J83" s="73" t="s">
        <v>441</v>
      </c>
      <c r="K83" s="74"/>
      <c r="L83" s="57">
        <f t="shared" si="7"/>
        <v>100000</v>
      </c>
      <c r="M83" s="58"/>
      <c r="N83" s="59"/>
      <c r="O83" s="60"/>
      <c r="P83" s="61"/>
      <c r="Q83" s="62"/>
      <c r="R83" s="63"/>
      <c r="S83" s="64"/>
      <c r="T83" s="65"/>
      <c r="U83" s="66"/>
      <c r="V83" s="67">
        <v>100000</v>
      </c>
      <c r="W83" s="65" t="s">
        <v>328</v>
      </c>
      <c r="X83" s="66" t="s">
        <v>318</v>
      </c>
      <c r="Y83" s="68"/>
    </row>
    <row r="84" spans="2:25" x14ac:dyDescent="0.4">
      <c r="B84" s="77">
        <f t="shared" si="6"/>
        <v>79</v>
      </c>
      <c r="C84" s="90" t="s">
        <v>20</v>
      </c>
      <c r="D84" s="91" t="s">
        <v>20</v>
      </c>
      <c r="E84" s="92"/>
      <c r="F84" s="90" t="s">
        <v>320</v>
      </c>
      <c r="G84" s="91" t="s">
        <v>320</v>
      </c>
      <c r="H84" s="92"/>
      <c r="I84" s="93" t="s">
        <v>448</v>
      </c>
      <c r="J84" s="94" t="s">
        <v>442</v>
      </c>
      <c r="K84" s="95"/>
      <c r="L84" s="6">
        <f t="shared" si="7"/>
        <v>100000</v>
      </c>
      <c r="M84" s="31"/>
      <c r="N84" s="20"/>
      <c r="O84" s="21"/>
      <c r="P84" s="15"/>
      <c r="Q84" s="16"/>
      <c r="R84" s="17"/>
      <c r="S84" s="36"/>
      <c r="T84" s="26"/>
      <c r="U84" s="27"/>
      <c r="V84" s="25">
        <v>100000</v>
      </c>
      <c r="W84" s="26" t="s">
        <v>328</v>
      </c>
      <c r="X84" s="27" t="s">
        <v>318</v>
      </c>
      <c r="Y84" s="39"/>
    </row>
    <row r="85" spans="2:25" x14ac:dyDescent="0.4">
      <c r="B85" s="4">
        <f t="shared" si="6"/>
        <v>80</v>
      </c>
      <c r="C85" s="41" t="s">
        <v>20</v>
      </c>
      <c r="D85" s="44" t="s">
        <v>20</v>
      </c>
      <c r="E85" s="43"/>
      <c r="F85" s="41" t="s">
        <v>320</v>
      </c>
      <c r="G85" s="44" t="s">
        <v>320</v>
      </c>
      <c r="H85" s="43"/>
      <c r="I85" s="47" t="s">
        <v>436</v>
      </c>
      <c r="J85" s="49" t="s">
        <v>449</v>
      </c>
      <c r="K85" s="48"/>
      <c r="L85" s="5">
        <f t="shared" si="7"/>
        <v>100000</v>
      </c>
      <c r="M85" s="30"/>
      <c r="N85" s="18"/>
      <c r="O85" s="19"/>
      <c r="P85" s="12"/>
      <c r="Q85" s="13"/>
      <c r="R85" s="14"/>
      <c r="S85" s="35"/>
      <c r="T85" s="23"/>
      <c r="U85" s="24"/>
      <c r="V85" s="22">
        <v>100000</v>
      </c>
      <c r="W85" s="23" t="s">
        <v>328</v>
      </c>
      <c r="X85" s="24" t="s">
        <v>318</v>
      </c>
      <c r="Y85" s="38"/>
    </row>
    <row r="86" spans="2:25" x14ac:dyDescent="0.4">
      <c r="B86" s="76">
        <f t="shared" si="6"/>
        <v>81</v>
      </c>
      <c r="C86" s="69" t="s">
        <v>20</v>
      </c>
      <c r="D86" s="70" t="s">
        <v>20</v>
      </c>
      <c r="E86" s="71"/>
      <c r="F86" s="69" t="s">
        <v>320</v>
      </c>
      <c r="G86" s="70" t="s">
        <v>320</v>
      </c>
      <c r="H86" s="71"/>
      <c r="I86" s="72" t="s">
        <v>438</v>
      </c>
      <c r="J86" s="73" t="s">
        <v>449</v>
      </c>
      <c r="K86" s="74"/>
      <c r="L86" s="57">
        <f t="shared" si="7"/>
        <v>100000</v>
      </c>
      <c r="M86" s="58"/>
      <c r="N86" s="59"/>
      <c r="O86" s="60"/>
      <c r="P86" s="61"/>
      <c r="Q86" s="62"/>
      <c r="R86" s="63"/>
      <c r="S86" s="64"/>
      <c r="T86" s="65"/>
      <c r="U86" s="66"/>
      <c r="V86" s="67">
        <v>100000</v>
      </c>
      <c r="W86" s="65" t="s">
        <v>328</v>
      </c>
      <c r="X86" s="66" t="s">
        <v>318</v>
      </c>
      <c r="Y86" s="68"/>
    </row>
    <row r="87" spans="2:25" x14ac:dyDescent="0.4">
      <c r="B87" s="77">
        <f t="shared" si="6"/>
        <v>82</v>
      </c>
      <c r="C87" s="90" t="s">
        <v>20</v>
      </c>
      <c r="D87" s="91" t="s">
        <v>20</v>
      </c>
      <c r="E87" s="92"/>
      <c r="F87" s="90" t="s">
        <v>320</v>
      </c>
      <c r="G87" s="91" t="s">
        <v>320</v>
      </c>
      <c r="H87" s="92"/>
      <c r="I87" s="93" t="s">
        <v>443</v>
      </c>
      <c r="J87" s="94" t="s">
        <v>449</v>
      </c>
      <c r="K87" s="95"/>
      <c r="L87" s="6">
        <f t="shared" si="7"/>
        <v>100000</v>
      </c>
      <c r="M87" s="31"/>
      <c r="N87" s="20"/>
      <c r="O87" s="21"/>
      <c r="P87" s="15"/>
      <c r="Q87" s="16"/>
      <c r="R87" s="17"/>
      <c r="S87" s="36"/>
      <c r="T87" s="26"/>
      <c r="U87" s="27"/>
      <c r="V87" s="25">
        <v>100000</v>
      </c>
      <c r="W87" s="26" t="s">
        <v>328</v>
      </c>
      <c r="X87" s="27" t="s">
        <v>318</v>
      </c>
      <c r="Y87" s="39"/>
    </row>
    <row r="88" spans="2:25" x14ac:dyDescent="0.4">
      <c r="B88" s="4">
        <f t="shared" si="6"/>
        <v>83</v>
      </c>
      <c r="C88" s="41" t="s">
        <v>20</v>
      </c>
      <c r="D88" s="44" t="s">
        <v>20</v>
      </c>
      <c r="E88" s="43"/>
      <c r="F88" s="41" t="s">
        <v>320</v>
      </c>
      <c r="G88" s="44" t="s">
        <v>320</v>
      </c>
      <c r="H88" s="43"/>
      <c r="I88" s="47" t="s">
        <v>444</v>
      </c>
      <c r="J88" s="49" t="s">
        <v>449</v>
      </c>
      <c r="K88" s="48"/>
      <c r="L88" s="5">
        <f t="shared" si="7"/>
        <v>100000</v>
      </c>
      <c r="M88" s="30"/>
      <c r="N88" s="18"/>
      <c r="O88" s="19"/>
      <c r="P88" s="12"/>
      <c r="Q88" s="13"/>
      <c r="R88" s="14"/>
      <c r="S88" s="35"/>
      <c r="T88" s="23"/>
      <c r="U88" s="24"/>
      <c r="V88" s="22">
        <v>100000</v>
      </c>
      <c r="W88" s="23" t="s">
        <v>328</v>
      </c>
      <c r="X88" s="24" t="s">
        <v>318</v>
      </c>
      <c r="Y88" s="38"/>
    </row>
    <row r="89" spans="2:25" x14ac:dyDescent="0.4">
      <c r="B89" s="76">
        <f t="shared" si="6"/>
        <v>84</v>
      </c>
      <c r="C89" s="69" t="s">
        <v>20</v>
      </c>
      <c r="D89" s="70" t="s">
        <v>20</v>
      </c>
      <c r="E89" s="71"/>
      <c r="F89" s="69" t="s">
        <v>320</v>
      </c>
      <c r="G89" s="70" t="s">
        <v>320</v>
      </c>
      <c r="H89" s="71"/>
      <c r="I89" s="72" t="s">
        <v>445</v>
      </c>
      <c r="J89" s="73" t="s">
        <v>449</v>
      </c>
      <c r="K89" s="74"/>
      <c r="L89" s="57">
        <f t="shared" si="7"/>
        <v>100000</v>
      </c>
      <c r="M89" s="58"/>
      <c r="N89" s="59"/>
      <c r="O89" s="60"/>
      <c r="P89" s="61"/>
      <c r="Q89" s="62"/>
      <c r="R89" s="63"/>
      <c r="S89" s="64"/>
      <c r="T89" s="65"/>
      <c r="U89" s="66"/>
      <c r="V89" s="67">
        <v>100000</v>
      </c>
      <c r="W89" s="65" t="s">
        <v>328</v>
      </c>
      <c r="X89" s="66" t="s">
        <v>318</v>
      </c>
      <c r="Y89" s="68"/>
    </row>
    <row r="90" spans="2:25" x14ac:dyDescent="0.4">
      <c r="B90" s="77">
        <f t="shared" si="6"/>
        <v>85</v>
      </c>
      <c r="C90" s="90" t="s">
        <v>20</v>
      </c>
      <c r="D90" s="91" t="s">
        <v>20</v>
      </c>
      <c r="E90" s="92"/>
      <c r="F90" s="90" t="s">
        <v>320</v>
      </c>
      <c r="G90" s="91" t="s">
        <v>320</v>
      </c>
      <c r="H90" s="92"/>
      <c r="I90" s="93" t="s">
        <v>446</v>
      </c>
      <c r="J90" s="94" t="s">
        <v>449</v>
      </c>
      <c r="K90" s="95"/>
      <c r="L90" s="6">
        <f t="shared" si="7"/>
        <v>100000</v>
      </c>
      <c r="M90" s="31"/>
      <c r="N90" s="20"/>
      <c r="O90" s="21"/>
      <c r="P90" s="15"/>
      <c r="Q90" s="16"/>
      <c r="R90" s="17"/>
      <c r="S90" s="36"/>
      <c r="T90" s="26"/>
      <c r="U90" s="27"/>
      <c r="V90" s="25">
        <v>100000</v>
      </c>
      <c r="W90" s="26" t="s">
        <v>328</v>
      </c>
      <c r="X90" s="27" t="s">
        <v>318</v>
      </c>
      <c r="Y90" s="39"/>
    </row>
    <row r="91" spans="2:25" x14ac:dyDescent="0.4">
      <c r="B91" s="4">
        <f t="shared" si="6"/>
        <v>86</v>
      </c>
      <c r="C91" s="41" t="s">
        <v>20</v>
      </c>
      <c r="D91" s="44" t="s">
        <v>20</v>
      </c>
      <c r="E91" s="43"/>
      <c r="F91" s="41" t="s">
        <v>320</v>
      </c>
      <c r="G91" s="44" t="s">
        <v>320</v>
      </c>
      <c r="H91" s="43"/>
      <c r="I91" s="47" t="s">
        <v>447</v>
      </c>
      <c r="J91" s="49" t="s">
        <v>449</v>
      </c>
      <c r="K91" s="48"/>
      <c r="L91" s="5">
        <f t="shared" si="7"/>
        <v>100000</v>
      </c>
      <c r="M91" s="30"/>
      <c r="N91" s="18"/>
      <c r="O91" s="19"/>
      <c r="P91" s="12"/>
      <c r="Q91" s="13"/>
      <c r="R91" s="14"/>
      <c r="S91" s="35"/>
      <c r="T91" s="23"/>
      <c r="U91" s="24"/>
      <c r="V91" s="22">
        <v>100000</v>
      </c>
      <c r="W91" s="23" t="s">
        <v>328</v>
      </c>
      <c r="X91" s="24" t="s">
        <v>318</v>
      </c>
      <c r="Y91" s="38"/>
    </row>
    <row r="92" spans="2:25" x14ac:dyDescent="0.4">
      <c r="B92" s="76">
        <f t="shared" si="6"/>
        <v>87</v>
      </c>
      <c r="C92" s="69" t="s">
        <v>20</v>
      </c>
      <c r="D92" s="70" t="s">
        <v>20</v>
      </c>
      <c r="E92" s="71"/>
      <c r="F92" s="69" t="s">
        <v>320</v>
      </c>
      <c r="G92" s="70" t="s">
        <v>320</v>
      </c>
      <c r="H92" s="71"/>
      <c r="I92" s="72" t="s">
        <v>448</v>
      </c>
      <c r="J92" s="73" t="s">
        <v>449</v>
      </c>
      <c r="K92" s="74"/>
      <c r="L92" s="57">
        <f t="shared" si="7"/>
        <v>100000</v>
      </c>
      <c r="M92" s="58"/>
      <c r="N92" s="59"/>
      <c r="O92" s="60"/>
      <c r="P92" s="61"/>
      <c r="Q92" s="62"/>
      <c r="R92" s="63"/>
      <c r="S92" s="64"/>
      <c r="T92" s="65"/>
      <c r="U92" s="66"/>
      <c r="V92" s="67">
        <v>100000</v>
      </c>
      <c r="W92" s="65" t="s">
        <v>328</v>
      </c>
      <c r="X92" s="66" t="s">
        <v>318</v>
      </c>
      <c r="Y92" s="68"/>
    </row>
    <row r="93" spans="2:25" x14ac:dyDescent="0.4">
      <c r="B93" s="77">
        <f t="shared" si="6"/>
        <v>88</v>
      </c>
      <c r="C93" s="90" t="s">
        <v>20</v>
      </c>
      <c r="D93" s="91" t="s">
        <v>20</v>
      </c>
      <c r="E93" s="92"/>
      <c r="F93" s="90" t="s">
        <v>320</v>
      </c>
      <c r="G93" s="91" t="s">
        <v>320</v>
      </c>
      <c r="H93" s="92"/>
      <c r="I93" s="93" t="s">
        <v>450</v>
      </c>
      <c r="J93" s="94" t="s">
        <v>439</v>
      </c>
      <c r="K93" s="95"/>
      <c r="L93" s="6">
        <f t="shared" si="7"/>
        <v>100000</v>
      </c>
      <c r="M93" s="31"/>
      <c r="N93" s="20"/>
      <c r="O93" s="21"/>
      <c r="P93" s="15"/>
      <c r="Q93" s="16"/>
      <c r="R93" s="17"/>
      <c r="S93" s="36"/>
      <c r="T93" s="26"/>
      <c r="U93" s="27"/>
      <c r="V93" s="25">
        <v>100000</v>
      </c>
      <c r="W93" s="26" t="s">
        <v>328</v>
      </c>
      <c r="X93" s="27" t="s">
        <v>318</v>
      </c>
      <c r="Y93" s="39"/>
    </row>
    <row r="94" spans="2:25" x14ac:dyDescent="0.4">
      <c r="B94" s="4">
        <f t="shared" si="6"/>
        <v>89</v>
      </c>
      <c r="C94" s="41" t="s">
        <v>20</v>
      </c>
      <c r="D94" s="44" t="s">
        <v>20</v>
      </c>
      <c r="E94" s="43"/>
      <c r="F94" s="41" t="s">
        <v>320</v>
      </c>
      <c r="G94" s="44" t="s">
        <v>320</v>
      </c>
      <c r="H94" s="43"/>
      <c r="I94" s="47" t="s">
        <v>450</v>
      </c>
      <c r="J94" s="49" t="s">
        <v>440</v>
      </c>
      <c r="K94" s="48"/>
      <c r="L94" s="5">
        <f t="shared" si="7"/>
        <v>100000</v>
      </c>
      <c r="M94" s="30"/>
      <c r="N94" s="18"/>
      <c r="O94" s="19"/>
      <c r="P94" s="12"/>
      <c r="Q94" s="13"/>
      <c r="R94" s="14"/>
      <c r="S94" s="35"/>
      <c r="T94" s="23"/>
      <c r="U94" s="24"/>
      <c r="V94" s="22">
        <v>100000</v>
      </c>
      <c r="W94" s="23" t="s">
        <v>328</v>
      </c>
      <c r="X94" s="24" t="s">
        <v>318</v>
      </c>
      <c r="Y94" s="38"/>
    </row>
    <row r="95" spans="2:25" x14ac:dyDescent="0.4">
      <c r="B95" s="76">
        <f t="shared" si="6"/>
        <v>90</v>
      </c>
      <c r="C95" s="69" t="s">
        <v>20</v>
      </c>
      <c r="D95" s="70" t="s">
        <v>20</v>
      </c>
      <c r="E95" s="71"/>
      <c r="F95" s="69" t="s">
        <v>320</v>
      </c>
      <c r="G95" s="70" t="s">
        <v>320</v>
      </c>
      <c r="H95" s="71"/>
      <c r="I95" s="72" t="s">
        <v>450</v>
      </c>
      <c r="J95" s="73" t="s">
        <v>441</v>
      </c>
      <c r="K95" s="74"/>
      <c r="L95" s="57">
        <f t="shared" si="7"/>
        <v>100000</v>
      </c>
      <c r="M95" s="58"/>
      <c r="N95" s="59"/>
      <c r="O95" s="60"/>
      <c r="P95" s="61"/>
      <c r="Q95" s="62"/>
      <c r="R95" s="63"/>
      <c r="S95" s="64"/>
      <c r="T95" s="65"/>
      <c r="U95" s="66"/>
      <c r="V95" s="67">
        <v>100000</v>
      </c>
      <c r="W95" s="65" t="s">
        <v>328</v>
      </c>
      <c r="X95" s="66" t="s">
        <v>318</v>
      </c>
      <c r="Y95" s="68"/>
    </row>
    <row r="96" spans="2:25" x14ac:dyDescent="0.4">
      <c r="B96" s="77">
        <f t="shared" si="6"/>
        <v>91</v>
      </c>
      <c r="C96" s="90" t="s">
        <v>20</v>
      </c>
      <c r="D96" s="91" t="s">
        <v>20</v>
      </c>
      <c r="E96" s="92"/>
      <c r="F96" s="90" t="s">
        <v>320</v>
      </c>
      <c r="G96" s="91" t="s">
        <v>320</v>
      </c>
      <c r="H96" s="92"/>
      <c r="I96" s="93" t="s">
        <v>450</v>
      </c>
      <c r="J96" s="94" t="s">
        <v>442</v>
      </c>
      <c r="K96" s="95"/>
      <c r="L96" s="6">
        <f t="shared" si="7"/>
        <v>100000</v>
      </c>
      <c r="M96" s="31"/>
      <c r="N96" s="20"/>
      <c r="O96" s="21"/>
      <c r="P96" s="15"/>
      <c r="Q96" s="16"/>
      <c r="R96" s="17"/>
      <c r="S96" s="36"/>
      <c r="T96" s="26"/>
      <c r="U96" s="27"/>
      <c r="V96" s="25">
        <v>100000</v>
      </c>
      <c r="W96" s="26" t="s">
        <v>328</v>
      </c>
      <c r="X96" s="27" t="s">
        <v>318</v>
      </c>
      <c r="Y96" s="39"/>
    </row>
    <row r="97" spans="2:25" x14ac:dyDescent="0.4">
      <c r="B97" s="4">
        <f t="shared" si="6"/>
        <v>92</v>
      </c>
      <c r="C97" s="41" t="s">
        <v>20</v>
      </c>
      <c r="D97" s="44" t="s">
        <v>20</v>
      </c>
      <c r="E97" s="43"/>
      <c r="F97" s="41" t="s">
        <v>320</v>
      </c>
      <c r="G97" s="44" t="s">
        <v>320</v>
      </c>
      <c r="H97" s="43"/>
      <c r="I97" s="47" t="s">
        <v>450</v>
      </c>
      <c r="J97" s="49" t="s">
        <v>437</v>
      </c>
      <c r="K97" s="48"/>
      <c r="L97" s="5">
        <f t="shared" si="7"/>
        <v>100000</v>
      </c>
      <c r="M97" s="30"/>
      <c r="N97" s="18"/>
      <c r="O97" s="19"/>
      <c r="P97" s="12"/>
      <c r="Q97" s="13"/>
      <c r="R97" s="14"/>
      <c r="S97" s="35"/>
      <c r="T97" s="23"/>
      <c r="U97" s="24"/>
      <c r="V97" s="22">
        <v>100000</v>
      </c>
      <c r="W97" s="23" t="s">
        <v>328</v>
      </c>
      <c r="X97" s="24" t="s">
        <v>318</v>
      </c>
      <c r="Y97" s="38"/>
    </row>
    <row r="98" spans="2:25" x14ac:dyDescent="0.4">
      <c r="B98" s="76">
        <f t="shared" si="6"/>
        <v>93</v>
      </c>
      <c r="C98" s="69" t="s">
        <v>20</v>
      </c>
      <c r="D98" s="70" t="s">
        <v>20</v>
      </c>
      <c r="E98" s="71"/>
      <c r="F98" s="69" t="s">
        <v>320</v>
      </c>
      <c r="G98" s="70" t="s">
        <v>320</v>
      </c>
      <c r="H98" s="71"/>
      <c r="I98" s="72" t="s">
        <v>450</v>
      </c>
      <c r="J98" s="73" t="s">
        <v>449</v>
      </c>
      <c r="K98" s="74"/>
      <c r="L98" s="57">
        <f t="shared" si="7"/>
        <v>100000</v>
      </c>
      <c r="M98" s="58"/>
      <c r="N98" s="59"/>
      <c r="O98" s="60"/>
      <c r="P98" s="61"/>
      <c r="Q98" s="62"/>
      <c r="R98" s="63"/>
      <c r="S98" s="64"/>
      <c r="T98" s="65"/>
      <c r="U98" s="66"/>
      <c r="V98" s="67">
        <v>100000</v>
      </c>
      <c r="W98" s="65" t="s">
        <v>328</v>
      </c>
      <c r="X98" s="66" t="s">
        <v>318</v>
      </c>
      <c r="Y98" s="68"/>
    </row>
    <row r="99" spans="2:25" x14ac:dyDescent="0.4">
      <c r="B99" s="77">
        <f t="shared" si="6"/>
        <v>94</v>
      </c>
      <c r="C99" s="90" t="s">
        <v>20</v>
      </c>
      <c r="D99" s="91" t="s">
        <v>20</v>
      </c>
      <c r="E99" s="92"/>
      <c r="F99" s="90" t="s">
        <v>320</v>
      </c>
      <c r="G99" s="91" t="s">
        <v>320</v>
      </c>
      <c r="H99" s="92"/>
      <c r="I99" s="93" t="s">
        <v>451</v>
      </c>
      <c r="J99" s="94" t="s">
        <v>439</v>
      </c>
      <c r="K99" s="95"/>
      <c r="L99" s="6">
        <f t="shared" si="7"/>
        <v>100000</v>
      </c>
      <c r="M99" s="31"/>
      <c r="N99" s="20"/>
      <c r="O99" s="21"/>
      <c r="P99" s="15"/>
      <c r="Q99" s="16"/>
      <c r="R99" s="17"/>
      <c r="S99" s="36"/>
      <c r="T99" s="26"/>
      <c r="U99" s="27"/>
      <c r="V99" s="25">
        <v>100000</v>
      </c>
      <c r="W99" s="26" t="s">
        <v>328</v>
      </c>
      <c r="X99" s="27" t="s">
        <v>318</v>
      </c>
      <c r="Y99" s="39"/>
    </row>
    <row r="100" spans="2:25" x14ac:dyDescent="0.4">
      <c r="B100" s="4">
        <f t="shared" si="6"/>
        <v>95</v>
      </c>
      <c r="C100" s="41" t="s">
        <v>20</v>
      </c>
      <c r="D100" s="44" t="s">
        <v>20</v>
      </c>
      <c r="E100" s="43"/>
      <c r="F100" s="41" t="s">
        <v>320</v>
      </c>
      <c r="G100" s="44" t="s">
        <v>320</v>
      </c>
      <c r="H100" s="43"/>
      <c r="I100" s="47" t="s">
        <v>451</v>
      </c>
      <c r="J100" s="49" t="s">
        <v>440</v>
      </c>
      <c r="K100" s="48"/>
      <c r="L100" s="5">
        <f t="shared" si="7"/>
        <v>100000</v>
      </c>
      <c r="M100" s="30"/>
      <c r="N100" s="18"/>
      <c r="O100" s="19"/>
      <c r="P100" s="12"/>
      <c r="Q100" s="13"/>
      <c r="R100" s="14"/>
      <c r="S100" s="35"/>
      <c r="T100" s="23"/>
      <c r="U100" s="24"/>
      <c r="V100" s="22">
        <v>100000</v>
      </c>
      <c r="W100" s="23" t="s">
        <v>328</v>
      </c>
      <c r="X100" s="24" t="s">
        <v>318</v>
      </c>
      <c r="Y100" s="38"/>
    </row>
    <row r="101" spans="2:25" x14ac:dyDescent="0.4">
      <c r="B101" s="76">
        <f t="shared" si="6"/>
        <v>96</v>
      </c>
      <c r="C101" s="69" t="s">
        <v>20</v>
      </c>
      <c r="D101" s="70" t="s">
        <v>20</v>
      </c>
      <c r="E101" s="71"/>
      <c r="F101" s="69" t="s">
        <v>320</v>
      </c>
      <c r="G101" s="70" t="s">
        <v>320</v>
      </c>
      <c r="H101" s="71"/>
      <c r="I101" s="72" t="s">
        <v>451</v>
      </c>
      <c r="J101" s="73" t="s">
        <v>441</v>
      </c>
      <c r="K101" s="74"/>
      <c r="L101" s="57">
        <f t="shared" si="7"/>
        <v>100000</v>
      </c>
      <c r="M101" s="58"/>
      <c r="N101" s="59"/>
      <c r="O101" s="60"/>
      <c r="P101" s="61"/>
      <c r="Q101" s="62"/>
      <c r="R101" s="63"/>
      <c r="S101" s="64"/>
      <c r="T101" s="65"/>
      <c r="U101" s="66"/>
      <c r="V101" s="67">
        <v>100000</v>
      </c>
      <c r="W101" s="65" t="s">
        <v>328</v>
      </c>
      <c r="X101" s="66" t="s">
        <v>318</v>
      </c>
      <c r="Y101" s="68"/>
    </row>
    <row r="102" spans="2:25" x14ac:dyDescent="0.4">
      <c r="B102" s="77">
        <f t="shared" si="6"/>
        <v>97</v>
      </c>
      <c r="C102" s="90" t="s">
        <v>20</v>
      </c>
      <c r="D102" s="91" t="s">
        <v>20</v>
      </c>
      <c r="E102" s="92"/>
      <c r="F102" s="90" t="s">
        <v>320</v>
      </c>
      <c r="G102" s="91" t="s">
        <v>320</v>
      </c>
      <c r="H102" s="92"/>
      <c r="I102" s="93" t="s">
        <v>451</v>
      </c>
      <c r="J102" s="94" t="s">
        <v>442</v>
      </c>
      <c r="K102" s="95"/>
      <c r="L102" s="6">
        <f t="shared" ref="L102:L158" si="8">SUM(M102,P102,S102,V102)</f>
        <v>100000</v>
      </c>
      <c r="M102" s="31"/>
      <c r="N102" s="20"/>
      <c r="O102" s="21"/>
      <c r="P102" s="15"/>
      <c r="Q102" s="16"/>
      <c r="R102" s="17"/>
      <c r="S102" s="36"/>
      <c r="T102" s="26"/>
      <c r="U102" s="27"/>
      <c r="V102" s="25">
        <v>100000</v>
      </c>
      <c r="W102" s="26" t="s">
        <v>328</v>
      </c>
      <c r="X102" s="27" t="s">
        <v>318</v>
      </c>
      <c r="Y102" s="39"/>
    </row>
    <row r="103" spans="2:25" x14ac:dyDescent="0.4">
      <c r="B103" s="4">
        <f t="shared" si="6"/>
        <v>98</v>
      </c>
      <c r="C103" s="41" t="s">
        <v>20</v>
      </c>
      <c r="D103" s="44" t="s">
        <v>20</v>
      </c>
      <c r="E103" s="43"/>
      <c r="F103" s="41" t="s">
        <v>320</v>
      </c>
      <c r="G103" s="44" t="s">
        <v>320</v>
      </c>
      <c r="H103" s="43"/>
      <c r="I103" s="47" t="s">
        <v>451</v>
      </c>
      <c r="J103" s="49" t="s">
        <v>437</v>
      </c>
      <c r="K103" s="48"/>
      <c r="L103" s="5">
        <f t="shared" si="8"/>
        <v>100000</v>
      </c>
      <c r="M103" s="30"/>
      <c r="N103" s="18"/>
      <c r="O103" s="19"/>
      <c r="P103" s="12"/>
      <c r="Q103" s="13"/>
      <c r="R103" s="14"/>
      <c r="S103" s="35"/>
      <c r="T103" s="23"/>
      <c r="U103" s="24"/>
      <c r="V103" s="22">
        <v>100000</v>
      </c>
      <c r="W103" s="23" t="s">
        <v>328</v>
      </c>
      <c r="X103" s="24" t="s">
        <v>318</v>
      </c>
      <c r="Y103" s="38"/>
    </row>
    <row r="104" spans="2:25" x14ac:dyDescent="0.4">
      <c r="B104" s="76">
        <f t="shared" si="6"/>
        <v>99</v>
      </c>
      <c r="C104" s="69" t="s">
        <v>20</v>
      </c>
      <c r="D104" s="70" t="s">
        <v>20</v>
      </c>
      <c r="E104" s="71"/>
      <c r="F104" s="69" t="s">
        <v>320</v>
      </c>
      <c r="G104" s="70" t="s">
        <v>320</v>
      </c>
      <c r="H104" s="71"/>
      <c r="I104" s="72" t="s">
        <v>451</v>
      </c>
      <c r="J104" s="73" t="s">
        <v>449</v>
      </c>
      <c r="K104" s="74"/>
      <c r="L104" s="57">
        <f t="shared" si="8"/>
        <v>100000</v>
      </c>
      <c r="M104" s="58"/>
      <c r="N104" s="59"/>
      <c r="O104" s="60"/>
      <c r="P104" s="61"/>
      <c r="Q104" s="62"/>
      <c r="R104" s="63"/>
      <c r="S104" s="64"/>
      <c r="T104" s="65"/>
      <c r="U104" s="66"/>
      <c r="V104" s="67">
        <v>100000</v>
      </c>
      <c r="W104" s="65" t="s">
        <v>328</v>
      </c>
      <c r="X104" s="66" t="s">
        <v>318</v>
      </c>
      <c r="Y104" s="68"/>
    </row>
    <row r="105" spans="2:25" x14ac:dyDescent="0.4">
      <c r="B105" s="77">
        <f t="shared" si="6"/>
        <v>100</v>
      </c>
      <c r="C105" s="90" t="s">
        <v>20</v>
      </c>
      <c r="D105" s="91" t="s">
        <v>452</v>
      </c>
      <c r="E105" s="92"/>
      <c r="F105" s="90" t="s">
        <v>453</v>
      </c>
      <c r="G105" s="91" t="s">
        <v>453</v>
      </c>
      <c r="H105" s="92"/>
      <c r="I105" s="93" t="s">
        <v>454</v>
      </c>
      <c r="J105" s="94" t="s">
        <v>455</v>
      </c>
      <c r="K105" s="95"/>
      <c r="L105" s="6">
        <f t="shared" si="8"/>
        <v>100000</v>
      </c>
      <c r="M105" s="31"/>
      <c r="N105" s="20"/>
      <c r="O105" s="21"/>
      <c r="P105" s="15"/>
      <c r="Q105" s="16"/>
      <c r="R105" s="17"/>
      <c r="S105" s="36"/>
      <c r="T105" s="26"/>
      <c r="U105" s="27"/>
      <c r="V105" s="25">
        <v>100000</v>
      </c>
      <c r="W105" s="26" t="s">
        <v>328</v>
      </c>
      <c r="X105" s="27" t="s">
        <v>318</v>
      </c>
      <c r="Y105" s="39"/>
    </row>
    <row r="106" spans="2:25" x14ac:dyDescent="0.4">
      <c r="B106" s="4">
        <f t="shared" si="6"/>
        <v>101</v>
      </c>
      <c r="C106" s="41" t="s">
        <v>20</v>
      </c>
      <c r="D106" s="44" t="s">
        <v>452</v>
      </c>
      <c r="E106" s="43"/>
      <c r="F106" s="41" t="s">
        <v>453</v>
      </c>
      <c r="G106" s="44" t="s">
        <v>453</v>
      </c>
      <c r="H106" s="43"/>
      <c r="I106" s="47" t="s">
        <v>456</v>
      </c>
      <c r="J106" s="49" t="s">
        <v>455</v>
      </c>
      <c r="K106" s="48"/>
      <c r="L106" s="5">
        <f t="shared" si="8"/>
        <v>100000</v>
      </c>
      <c r="M106" s="30"/>
      <c r="N106" s="18"/>
      <c r="O106" s="19"/>
      <c r="P106" s="12"/>
      <c r="Q106" s="13"/>
      <c r="R106" s="14"/>
      <c r="S106" s="35"/>
      <c r="T106" s="23"/>
      <c r="U106" s="24"/>
      <c r="V106" s="22">
        <v>100000</v>
      </c>
      <c r="W106" s="23" t="s">
        <v>328</v>
      </c>
      <c r="X106" s="24" t="s">
        <v>318</v>
      </c>
      <c r="Y106" s="38"/>
    </row>
    <row r="107" spans="2:25" x14ac:dyDescent="0.4">
      <c r="B107" s="76">
        <f t="shared" si="6"/>
        <v>102</v>
      </c>
      <c r="C107" s="69" t="s">
        <v>20</v>
      </c>
      <c r="D107" s="70" t="s">
        <v>452</v>
      </c>
      <c r="E107" s="71"/>
      <c r="F107" s="69" t="s">
        <v>453</v>
      </c>
      <c r="G107" s="70" t="s">
        <v>453</v>
      </c>
      <c r="H107" s="71"/>
      <c r="I107" s="72" t="s">
        <v>457</v>
      </c>
      <c r="J107" s="73" t="s">
        <v>455</v>
      </c>
      <c r="K107" s="74"/>
      <c r="L107" s="57">
        <f t="shared" si="8"/>
        <v>100000</v>
      </c>
      <c r="M107" s="58"/>
      <c r="N107" s="59"/>
      <c r="O107" s="60"/>
      <c r="P107" s="61"/>
      <c r="Q107" s="62"/>
      <c r="R107" s="63"/>
      <c r="S107" s="64"/>
      <c r="T107" s="65"/>
      <c r="U107" s="66"/>
      <c r="V107" s="67">
        <v>100000</v>
      </c>
      <c r="W107" s="65" t="s">
        <v>328</v>
      </c>
      <c r="X107" s="66" t="s">
        <v>318</v>
      </c>
      <c r="Y107" s="68"/>
    </row>
    <row r="108" spans="2:25" x14ac:dyDescent="0.4">
      <c r="B108" s="77">
        <f t="shared" si="6"/>
        <v>103</v>
      </c>
      <c r="C108" s="90" t="s">
        <v>20</v>
      </c>
      <c r="D108" s="91" t="s">
        <v>452</v>
      </c>
      <c r="E108" s="92"/>
      <c r="F108" s="90" t="s">
        <v>453</v>
      </c>
      <c r="G108" s="91" t="s">
        <v>453</v>
      </c>
      <c r="H108" s="92"/>
      <c r="I108" s="93" t="s">
        <v>458</v>
      </c>
      <c r="J108" s="94" t="s">
        <v>455</v>
      </c>
      <c r="K108" s="95"/>
      <c r="L108" s="6">
        <f t="shared" si="8"/>
        <v>100000</v>
      </c>
      <c r="M108" s="31"/>
      <c r="N108" s="20"/>
      <c r="O108" s="21"/>
      <c r="P108" s="15"/>
      <c r="Q108" s="16"/>
      <c r="R108" s="17"/>
      <c r="S108" s="36"/>
      <c r="T108" s="26"/>
      <c r="U108" s="27"/>
      <c r="V108" s="25">
        <v>100000</v>
      </c>
      <c r="W108" s="26" t="s">
        <v>328</v>
      </c>
      <c r="X108" s="27" t="s">
        <v>318</v>
      </c>
      <c r="Y108" s="39"/>
    </row>
    <row r="109" spans="2:25" x14ac:dyDescent="0.4">
      <c r="B109" s="4">
        <f t="shared" ref="B109:B169" si="9">ROW(B109)-5</f>
        <v>104</v>
      </c>
      <c r="C109" s="41" t="s">
        <v>20</v>
      </c>
      <c r="D109" s="44" t="s">
        <v>452</v>
      </c>
      <c r="E109" s="43"/>
      <c r="F109" s="41" t="s">
        <v>453</v>
      </c>
      <c r="G109" s="44" t="s">
        <v>453</v>
      </c>
      <c r="H109" s="43"/>
      <c r="I109" s="47" t="s">
        <v>459</v>
      </c>
      <c r="J109" s="49" t="s">
        <v>455</v>
      </c>
      <c r="K109" s="48"/>
      <c r="L109" s="5">
        <f t="shared" si="8"/>
        <v>100000</v>
      </c>
      <c r="M109" s="30"/>
      <c r="N109" s="18"/>
      <c r="O109" s="19"/>
      <c r="P109" s="12"/>
      <c r="Q109" s="13"/>
      <c r="R109" s="14"/>
      <c r="S109" s="35"/>
      <c r="T109" s="23"/>
      <c r="U109" s="24"/>
      <c r="V109" s="22">
        <v>100000</v>
      </c>
      <c r="W109" s="23" t="s">
        <v>328</v>
      </c>
      <c r="X109" s="24" t="s">
        <v>318</v>
      </c>
      <c r="Y109" s="38"/>
    </row>
    <row r="110" spans="2:25" x14ac:dyDescent="0.4">
      <c r="B110" s="76">
        <f t="shared" si="9"/>
        <v>105</v>
      </c>
      <c r="C110" s="69" t="s">
        <v>20</v>
      </c>
      <c r="D110" s="70" t="s">
        <v>452</v>
      </c>
      <c r="E110" s="71"/>
      <c r="F110" s="69" t="s">
        <v>453</v>
      </c>
      <c r="G110" s="70" t="s">
        <v>453</v>
      </c>
      <c r="H110" s="71"/>
      <c r="I110" s="72" t="s">
        <v>460</v>
      </c>
      <c r="J110" s="73" t="s">
        <v>455</v>
      </c>
      <c r="K110" s="74"/>
      <c r="L110" s="57">
        <f t="shared" si="8"/>
        <v>100000</v>
      </c>
      <c r="M110" s="58"/>
      <c r="N110" s="59"/>
      <c r="O110" s="60"/>
      <c r="P110" s="61"/>
      <c r="Q110" s="62"/>
      <c r="R110" s="63"/>
      <c r="S110" s="64"/>
      <c r="T110" s="65"/>
      <c r="U110" s="66"/>
      <c r="V110" s="67">
        <v>100000</v>
      </c>
      <c r="W110" s="65" t="s">
        <v>328</v>
      </c>
      <c r="X110" s="66" t="s">
        <v>318</v>
      </c>
      <c r="Y110" s="68"/>
    </row>
    <row r="111" spans="2:25" x14ac:dyDescent="0.4">
      <c r="B111" s="77">
        <f t="shared" si="9"/>
        <v>106</v>
      </c>
      <c r="C111" s="90" t="s">
        <v>20</v>
      </c>
      <c r="D111" s="91" t="s">
        <v>452</v>
      </c>
      <c r="E111" s="92"/>
      <c r="F111" s="90" t="s">
        <v>453</v>
      </c>
      <c r="G111" s="91" t="s">
        <v>453</v>
      </c>
      <c r="H111" s="92"/>
      <c r="I111" s="93" t="s">
        <v>461</v>
      </c>
      <c r="J111" s="94" t="s">
        <v>455</v>
      </c>
      <c r="K111" s="95"/>
      <c r="L111" s="6">
        <f t="shared" si="8"/>
        <v>100000</v>
      </c>
      <c r="M111" s="31"/>
      <c r="N111" s="20"/>
      <c r="O111" s="21"/>
      <c r="P111" s="15"/>
      <c r="Q111" s="16"/>
      <c r="R111" s="17"/>
      <c r="S111" s="36"/>
      <c r="T111" s="26"/>
      <c r="U111" s="27"/>
      <c r="V111" s="25">
        <v>100000</v>
      </c>
      <c r="W111" s="26" t="s">
        <v>328</v>
      </c>
      <c r="X111" s="27" t="s">
        <v>318</v>
      </c>
      <c r="Y111" s="39"/>
    </row>
    <row r="112" spans="2:25" x14ac:dyDescent="0.4">
      <c r="B112" s="4">
        <f t="shared" si="9"/>
        <v>107</v>
      </c>
      <c r="C112" s="41" t="s">
        <v>20</v>
      </c>
      <c r="D112" s="44" t="s">
        <v>452</v>
      </c>
      <c r="E112" s="43"/>
      <c r="F112" s="41" t="s">
        <v>453</v>
      </c>
      <c r="G112" s="44" t="s">
        <v>453</v>
      </c>
      <c r="H112" s="43"/>
      <c r="I112" s="47" t="s">
        <v>462</v>
      </c>
      <c r="J112" s="49" t="s">
        <v>455</v>
      </c>
      <c r="K112" s="48"/>
      <c r="L112" s="5">
        <f t="shared" si="8"/>
        <v>100000</v>
      </c>
      <c r="M112" s="30"/>
      <c r="N112" s="18"/>
      <c r="O112" s="19"/>
      <c r="P112" s="12"/>
      <c r="Q112" s="13"/>
      <c r="R112" s="14"/>
      <c r="S112" s="35"/>
      <c r="T112" s="23"/>
      <c r="U112" s="24"/>
      <c r="V112" s="22">
        <v>100000</v>
      </c>
      <c r="W112" s="23" t="s">
        <v>328</v>
      </c>
      <c r="X112" s="24" t="s">
        <v>318</v>
      </c>
      <c r="Y112" s="38"/>
    </row>
    <row r="113" spans="2:25" x14ac:dyDescent="0.4">
      <c r="B113" s="76">
        <f t="shared" si="9"/>
        <v>108</v>
      </c>
      <c r="C113" s="69" t="s">
        <v>20</v>
      </c>
      <c r="D113" s="70" t="s">
        <v>452</v>
      </c>
      <c r="E113" s="71"/>
      <c r="F113" s="69" t="s">
        <v>453</v>
      </c>
      <c r="G113" s="70" t="s">
        <v>453</v>
      </c>
      <c r="H113" s="71"/>
      <c r="I113" s="72" t="s">
        <v>463</v>
      </c>
      <c r="J113" s="73" t="s">
        <v>455</v>
      </c>
      <c r="K113" s="74"/>
      <c r="L113" s="57">
        <f t="shared" si="8"/>
        <v>100000</v>
      </c>
      <c r="M113" s="58"/>
      <c r="N113" s="59"/>
      <c r="O113" s="60"/>
      <c r="P113" s="61"/>
      <c r="Q113" s="62"/>
      <c r="R113" s="63"/>
      <c r="S113" s="64"/>
      <c r="T113" s="65"/>
      <c r="U113" s="66"/>
      <c r="V113" s="67">
        <v>100000</v>
      </c>
      <c r="W113" s="65" t="s">
        <v>328</v>
      </c>
      <c r="X113" s="66" t="s">
        <v>318</v>
      </c>
      <c r="Y113" s="68"/>
    </row>
    <row r="114" spans="2:25" x14ac:dyDescent="0.4">
      <c r="B114" s="77">
        <f t="shared" si="9"/>
        <v>109</v>
      </c>
      <c r="C114" s="90" t="s">
        <v>20</v>
      </c>
      <c r="D114" s="91" t="s">
        <v>452</v>
      </c>
      <c r="E114" s="92"/>
      <c r="F114" s="90" t="s">
        <v>453</v>
      </c>
      <c r="G114" s="91" t="s">
        <v>453</v>
      </c>
      <c r="H114" s="92"/>
      <c r="I114" s="93" t="s">
        <v>464</v>
      </c>
      <c r="J114" s="94" t="s">
        <v>455</v>
      </c>
      <c r="K114" s="95"/>
      <c r="L114" s="6">
        <f t="shared" si="8"/>
        <v>100000</v>
      </c>
      <c r="M114" s="31"/>
      <c r="N114" s="20"/>
      <c r="O114" s="21"/>
      <c r="P114" s="15"/>
      <c r="Q114" s="16"/>
      <c r="R114" s="17"/>
      <c r="S114" s="36"/>
      <c r="T114" s="26"/>
      <c r="U114" s="27"/>
      <c r="V114" s="25">
        <v>100000</v>
      </c>
      <c r="W114" s="26" t="s">
        <v>328</v>
      </c>
      <c r="X114" s="27" t="s">
        <v>318</v>
      </c>
      <c r="Y114" s="39"/>
    </row>
    <row r="115" spans="2:25" x14ac:dyDescent="0.4">
      <c r="B115" s="4">
        <f t="shared" si="9"/>
        <v>110</v>
      </c>
      <c r="C115" s="41" t="s">
        <v>20</v>
      </c>
      <c r="D115" s="44" t="s">
        <v>452</v>
      </c>
      <c r="E115" s="43"/>
      <c r="F115" s="41" t="s">
        <v>453</v>
      </c>
      <c r="G115" s="44" t="s">
        <v>453</v>
      </c>
      <c r="H115" s="43"/>
      <c r="I115" s="47" t="s">
        <v>465</v>
      </c>
      <c r="J115" s="49" t="s">
        <v>455</v>
      </c>
      <c r="K115" s="48"/>
      <c r="L115" s="5">
        <f t="shared" si="8"/>
        <v>100000</v>
      </c>
      <c r="M115" s="30"/>
      <c r="N115" s="18"/>
      <c r="O115" s="19"/>
      <c r="P115" s="12"/>
      <c r="Q115" s="13"/>
      <c r="R115" s="14"/>
      <c r="S115" s="35"/>
      <c r="T115" s="23"/>
      <c r="U115" s="24"/>
      <c r="V115" s="22">
        <v>100000</v>
      </c>
      <c r="W115" s="23" t="s">
        <v>328</v>
      </c>
      <c r="X115" s="24" t="s">
        <v>318</v>
      </c>
      <c r="Y115" s="38"/>
    </row>
    <row r="116" spans="2:25" x14ac:dyDescent="0.4">
      <c r="B116" s="76">
        <f t="shared" si="9"/>
        <v>111</v>
      </c>
      <c r="C116" s="69" t="s">
        <v>20</v>
      </c>
      <c r="D116" s="70" t="s">
        <v>452</v>
      </c>
      <c r="E116" s="71"/>
      <c r="F116" s="69" t="s">
        <v>453</v>
      </c>
      <c r="G116" s="70" t="s">
        <v>453</v>
      </c>
      <c r="H116" s="71"/>
      <c r="I116" s="72" t="s">
        <v>466</v>
      </c>
      <c r="J116" s="73" t="s">
        <v>455</v>
      </c>
      <c r="K116" s="74"/>
      <c r="L116" s="57">
        <f t="shared" si="8"/>
        <v>100000</v>
      </c>
      <c r="M116" s="58"/>
      <c r="N116" s="59"/>
      <c r="O116" s="60"/>
      <c r="P116" s="61"/>
      <c r="Q116" s="62"/>
      <c r="R116" s="63"/>
      <c r="S116" s="64"/>
      <c r="T116" s="65"/>
      <c r="U116" s="66"/>
      <c r="V116" s="67">
        <v>100000</v>
      </c>
      <c r="W116" s="65" t="s">
        <v>328</v>
      </c>
      <c r="X116" s="66" t="s">
        <v>318</v>
      </c>
      <c r="Y116" s="68"/>
    </row>
    <row r="117" spans="2:25" x14ac:dyDescent="0.4">
      <c r="B117" s="77">
        <f t="shared" si="9"/>
        <v>112</v>
      </c>
      <c r="C117" s="90" t="s">
        <v>467</v>
      </c>
      <c r="D117" s="91" t="s">
        <v>31</v>
      </c>
      <c r="E117" s="92"/>
      <c r="F117" s="90" t="s">
        <v>468</v>
      </c>
      <c r="G117" s="91" t="s">
        <v>468</v>
      </c>
      <c r="H117" s="92"/>
      <c r="I117" s="93" t="s">
        <v>469</v>
      </c>
      <c r="J117" s="94" t="s">
        <v>470</v>
      </c>
      <c r="K117" s="95"/>
      <c r="L117" s="6">
        <f t="shared" si="8"/>
        <v>50000</v>
      </c>
      <c r="M117" s="31"/>
      <c r="N117" s="20"/>
      <c r="O117" s="21"/>
      <c r="P117" s="15"/>
      <c r="Q117" s="16"/>
      <c r="R117" s="17"/>
      <c r="S117" s="36"/>
      <c r="T117" s="26"/>
      <c r="U117" s="27"/>
      <c r="V117" s="25">
        <v>50000</v>
      </c>
      <c r="W117" s="26" t="s">
        <v>328</v>
      </c>
      <c r="X117" s="27" t="s">
        <v>318</v>
      </c>
      <c r="Y117" s="39"/>
    </row>
    <row r="118" spans="2:25" x14ac:dyDescent="0.4">
      <c r="B118" s="4">
        <f t="shared" si="9"/>
        <v>113</v>
      </c>
      <c r="C118" s="41" t="s">
        <v>467</v>
      </c>
      <c r="D118" s="44" t="s">
        <v>31</v>
      </c>
      <c r="E118" s="43"/>
      <c r="F118" s="41" t="s">
        <v>468</v>
      </c>
      <c r="G118" s="44" t="s">
        <v>468</v>
      </c>
      <c r="H118" s="43"/>
      <c r="I118" s="47" t="s">
        <v>469</v>
      </c>
      <c r="J118" s="49" t="s">
        <v>471</v>
      </c>
      <c r="K118" s="48"/>
      <c r="L118" s="5">
        <f t="shared" si="8"/>
        <v>50000</v>
      </c>
      <c r="M118" s="30"/>
      <c r="N118" s="18"/>
      <c r="O118" s="19"/>
      <c r="P118" s="12"/>
      <c r="Q118" s="13"/>
      <c r="R118" s="14"/>
      <c r="S118" s="35"/>
      <c r="T118" s="23"/>
      <c r="U118" s="24"/>
      <c r="V118" s="22">
        <v>50000</v>
      </c>
      <c r="W118" s="23" t="s">
        <v>328</v>
      </c>
      <c r="X118" s="24" t="s">
        <v>318</v>
      </c>
      <c r="Y118" s="38"/>
    </row>
    <row r="119" spans="2:25" x14ac:dyDescent="0.4">
      <c r="B119" s="76">
        <f t="shared" si="9"/>
        <v>114</v>
      </c>
      <c r="C119" s="69" t="s">
        <v>467</v>
      </c>
      <c r="D119" s="70" t="s">
        <v>472</v>
      </c>
      <c r="E119" s="71"/>
      <c r="F119" s="69" t="s">
        <v>468</v>
      </c>
      <c r="G119" s="70" t="s">
        <v>468</v>
      </c>
      <c r="H119" s="71"/>
      <c r="I119" s="72" t="s">
        <v>469</v>
      </c>
      <c r="J119" s="73" t="s">
        <v>473</v>
      </c>
      <c r="K119" s="74"/>
      <c r="L119" s="57">
        <f t="shared" si="8"/>
        <v>40000</v>
      </c>
      <c r="M119" s="58"/>
      <c r="N119" s="59"/>
      <c r="O119" s="60"/>
      <c r="P119" s="61"/>
      <c r="Q119" s="62"/>
      <c r="R119" s="63"/>
      <c r="S119" s="64"/>
      <c r="T119" s="65"/>
      <c r="U119" s="66"/>
      <c r="V119" s="67">
        <v>40000</v>
      </c>
      <c r="W119" s="65" t="s">
        <v>328</v>
      </c>
      <c r="X119" s="66" t="s">
        <v>318</v>
      </c>
      <c r="Y119" s="68"/>
    </row>
    <row r="120" spans="2:25" x14ac:dyDescent="0.4">
      <c r="B120" s="77">
        <f t="shared" si="9"/>
        <v>115</v>
      </c>
      <c r="C120" s="90" t="s">
        <v>467</v>
      </c>
      <c r="D120" s="91" t="s">
        <v>472</v>
      </c>
      <c r="E120" s="92"/>
      <c r="F120" s="90" t="s">
        <v>468</v>
      </c>
      <c r="G120" s="91" t="s">
        <v>468</v>
      </c>
      <c r="H120" s="92"/>
      <c r="I120" s="93" t="s">
        <v>469</v>
      </c>
      <c r="J120" s="94" t="s">
        <v>474</v>
      </c>
      <c r="K120" s="95"/>
      <c r="L120" s="6">
        <f t="shared" si="8"/>
        <v>40000</v>
      </c>
      <c r="M120" s="31"/>
      <c r="N120" s="20"/>
      <c r="O120" s="21"/>
      <c r="P120" s="15"/>
      <c r="Q120" s="16"/>
      <c r="R120" s="17"/>
      <c r="S120" s="36"/>
      <c r="T120" s="26"/>
      <c r="U120" s="27"/>
      <c r="V120" s="25">
        <v>40000</v>
      </c>
      <c r="W120" s="26" t="s">
        <v>328</v>
      </c>
      <c r="X120" s="27" t="s">
        <v>318</v>
      </c>
      <c r="Y120" s="39"/>
    </row>
    <row r="121" spans="2:25" x14ac:dyDescent="0.4">
      <c r="B121" s="4">
        <f t="shared" si="9"/>
        <v>116</v>
      </c>
      <c r="C121" s="41" t="s">
        <v>467</v>
      </c>
      <c r="D121" s="44" t="s">
        <v>472</v>
      </c>
      <c r="E121" s="43"/>
      <c r="F121" s="41" t="s">
        <v>468</v>
      </c>
      <c r="G121" s="44" t="s">
        <v>468</v>
      </c>
      <c r="H121" s="43"/>
      <c r="I121" s="47" t="s">
        <v>469</v>
      </c>
      <c r="J121" s="49" t="s">
        <v>475</v>
      </c>
      <c r="K121" s="48"/>
      <c r="L121" s="5">
        <f t="shared" si="8"/>
        <v>40000</v>
      </c>
      <c r="M121" s="30"/>
      <c r="N121" s="18"/>
      <c r="O121" s="19"/>
      <c r="P121" s="12"/>
      <c r="Q121" s="13"/>
      <c r="R121" s="14"/>
      <c r="S121" s="35"/>
      <c r="T121" s="23"/>
      <c r="U121" s="24"/>
      <c r="V121" s="22">
        <v>40000</v>
      </c>
      <c r="W121" s="23" t="s">
        <v>328</v>
      </c>
      <c r="X121" s="24" t="s">
        <v>318</v>
      </c>
      <c r="Y121" s="38"/>
    </row>
    <row r="122" spans="2:25" x14ac:dyDescent="0.4">
      <c r="B122" s="76">
        <f t="shared" si="9"/>
        <v>117</v>
      </c>
      <c r="C122" s="69" t="s">
        <v>467</v>
      </c>
      <c r="D122" s="70" t="s">
        <v>472</v>
      </c>
      <c r="E122" s="71"/>
      <c r="F122" s="69" t="s">
        <v>468</v>
      </c>
      <c r="G122" s="70" t="s">
        <v>468</v>
      </c>
      <c r="H122" s="71"/>
      <c r="I122" s="72" t="s">
        <v>469</v>
      </c>
      <c r="J122" s="73" t="s">
        <v>476</v>
      </c>
      <c r="K122" s="74"/>
      <c r="L122" s="57">
        <f t="shared" si="8"/>
        <v>40000</v>
      </c>
      <c r="M122" s="58"/>
      <c r="N122" s="59"/>
      <c r="O122" s="60"/>
      <c r="P122" s="61"/>
      <c r="Q122" s="62"/>
      <c r="R122" s="63"/>
      <c r="S122" s="64"/>
      <c r="T122" s="65"/>
      <c r="U122" s="66"/>
      <c r="V122" s="67">
        <v>40000</v>
      </c>
      <c r="W122" s="65" t="s">
        <v>328</v>
      </c>
      <c r="X122" s="66" t="s">
        <v>318</v>
      </c>
      <c r="Y122" s="68"/>
    </row>
    <row r="123" spans="2:25" x14ac:dyDescent="0.4">
      <c r="B123" s="77">
        <f t="shared" si="9"/>
        <v>118</v>
      </c>
      <c r="C123" s="90" t="s">
        <v>467</v>
      </c>
      <c r="D123" s="91" t="s">
        <v>31</v>
      </c>
      <c r="E123" s="92"/>
      <c r="F123" s="90" t="s">
        <v>468</v>
      </c>
      <c r="G123" s="91" t="s">
        <v>468</v>
      </c>
      <c r="H123" s="92"/>
      <c r="I123" s="93" t="s">
        <v>477</v>
      </c>
      <c r="J123" s="94" t="s">
        <v>470</v>
      </c>
      <c r="K123" s="95"/>
      <c r="L123" s="6">
        <f t="shared" si="8"/>
        <v>50000</v>
      </c>
      <c r="M123" s="31"/>
      <c r="N123" s="20"/>
      <c r="O123" s="21"/>
      <c r="P123" s="15"/>
      <c r="Q123" s="16"/>
      <c r="R123" s="17"/>
      <c r="S123" s="36"/>
      <c r="T123" s="26"/>
      <c r="U123" s="27"/>
      <c r="V123" s="25">
        <v>50000</v>
      </c>
      <c r="W123" s="26" t="s">
        <v>328</v>
      </c>
      <c r="X123" s="27" t="s">
        <v>318</v>
      </c>
      <c r="Y123" s="39"/>
    </row>
    <row r="124" spans="2:25" x14ac:dyDescent="0.4">
      <c r="B124" s="4">
        <f t="shared" si="9"/>
        <v>119</v>
      </c>
      <c r="C124" s="41" t="s">
        <v>467</v>
      </c>
      <c r="D124" s="44" t="s">
        <v>31</v>
      </c>
      <c r="E124" s="43"/>
      <c r="F124" s="41" t="s">
        <v>468</v>
      </c>
      <c r="G124" s="44" t="s">
        <v>468</v>
      </c>
      <c r="H124" s="43"/>
      <c r="I124" s="47" t="s">
        <v>477</v>
      </c>
      <c r="J124" s="49" t="s">
        <v>471</v>
      </c>
      <c r="K124" s="48"/>
      <c r="L124" s="5">
        <f t="shared" si="8"/>
        <v>50000</v>
      </c>
      <c r="M124" s="30"/>
      <c r="N124" s="18"/>
      <c r="O124" s="19"/>
      <c r="P124" s="12"/>
      <c r="Q124" s="13"/>
      <c r="R124" s="14"/>
      <c r="S124" s="35"/>
      <c r="T124" s="23"/>
      <c r="U124" s="24"/>
      <c r="V124" s="22">
        <v>50000</v>
      </c>
      <c r="W124" s="23" t="s">
        <v>328</v>
      </c>
      <c r="X124" s="24" t="s">
        <v>318</v>
      </c>
      <c r="Y124" s="38"/>
    </row>
    <row r="125" spans="2:25" x14ac:dyDescent="0.4">
      <c r="B125" s="76">
        <f t="shared" si="9"/>
        <v>120</v>
      </c>
      <c r="C125" s="69" t="s">
        <v>467</v>
      </c>
      <c r="D125" s="70" t="s">
        <v>472</v>
      </c>
      <c r="E125" s="71"/>
      <c r="F125" s="69" t="s">
        <v>468</v>
      </c>
      <c r="G125" s="70" t="s">
        <v>468</v>
      </c>
      <c r="H125" s="71"/>
      <c r="I125" s="72" t="s">
        <v>477</v>
      </c>
      <c r="J125" s="73" t="s">
        <v>473</v>
      </c>
      <c r="K125" s="74"/>
      <c r="L125" s="57">
        <f t="shared" si="8"/>
        <v>40000</v>
      </c>
      <c r="M125" s="58"/>
      <c r="N125" s="59"/>
      <c r="O125" s="60"/>
      <c r="P125" s="61"/>
      <c r="Q125" s="62"/>
      <c r="R125" s="63"/>
      <c r="S125" s="64"/>
      <c r="T125" s="65"/>
      <c r="U125" s="66"/>
      <c r="V125" s="67">
        <v>40000</v>
      </c>
      <c r="W125" s="65" t="s">
        <v>328</v>
      </c>
      <c r="X125" s="66" t="s">
        <v>318</v>
      </c>
      <c r="Y125" s="68"/>
    </row>
    <row r="126" spans="2:25" x14ac:dyDescent="0.4">
      <c r="B126" s="77">
        <f t="shared" si="9"/>
        <v>121</v>
      </c>
      <c r="C126" s="90" t="s">
        <v>467</v>
      </c>
      <c r="D126" s="91" t="s">
        <v>472</v>
      </c>
      <c r="E126" s="92"/>
      <c r="F126" s="90" t="s">
        <v>468</v>
      </c>
      <c r="G126" s="91" t="s">
        <v>468</v>
      </c>
      <c r="H126" s="92"/>
      <c r="I126" s="93" t="s">
        <v>477</v>
      </c>
      <c r="J126" s="94" t="s">
        <v>474</v>
      </c>
      <c r="K126" s="95"/>
      <c r="L126" s="6">
        <f t="shared" si="8"/>
        <v>40000</v>
      </c>
      <c r="M126" s="31"/>
      <c r="N126" s="20"/>
      <c r="O126" s="21"/>
      <c r="P126" s="15"/>
      <c r="Q126" s="16"/>
      <c r="R126" s="17"/>
      <c r="S126" s="36"/>
      <c r="T126" s="26"/>
      <c r="U126" s="27"/>
      <c r="V126" s="25">
        <v>40000</v>
      </c>
      <c r="W126" s="26" t="s">
        <v>328</v>
      </c>
      <c r="X126" s="27" t="s">
        <v>318</v>
      </c>
      <c r="Y126" s="39"/>
    </row>
    <row r="127" spans="2:25" x14ac:dyDescent="0.4">
      <c r="B127" s="4">
        <f t="shared" si="9"/>
        <v>122</v>
      </c>
      <c r="C127" s="41" t="s">
        <v>467</v>
      </c>
      <c r="D127" s="44" t="s">
        <v>472</v>
      </c>
      <c r="E127" s="43"/>
      <c r="F127" s="41" t="s">
        <v>468</v>
      </c>
      <c r="G127" s="44" t="s">
        <v>468</v>
      </c>
      <c r="H127" s="43"/>
      <c r="I127" s="47" t="s">
        <v>477</v>
      </c>
      <c r="J127" s="49" t="s">
        <v>475</v>
      </c>
      <c r="K127" s="48"/>
      <c r="L127" s="5">
        <f t="shared" si="8"/>
        <v>40000</v>
      </c>
      <c r="M127" s="30"/>
      <c r="N127" s="18"/>
      <c r="O127" s="19"/>
      <c r="P127" s="12"/>
      <c r="Q127" s="13"/>
      <c r="R127" s="14"/>
      <c r="S127" s="35"/>
      <c r="T127" s="23"/>
      <c r="U127" s="24"/>
      <c r="V127" s="22">
        <v>40000</v>
      </c>
      <c r="W127" s="23" t="s">
        <v>328</v>
      </c>
      <c r="X127" s="24" t="s">
        <v>318</v>
      </c>
      <c r="Y127" s="38"/>
    </row>
    <row r="128" spans="2:25" x14ac:dyDescent="0.4">
      <c r="B128" s="76">
        <f t="shared" si="9"/>
        <v>123</v>
      </c>
      <c r="C128" s="69" t="s">
        <v>467</v>
      </c>
      <c r="D128" s="70" t="s">
        <v>472</v>
      </c>
      <c r="E128" s="71"/>
      <c r="F128" s="69" t="s">
        <v>468</v>
      </c>
      <c r="G128" s="70" t="s">
        <v>468</v>
      </c>
      <c r="H128" s="71"/>
      <c r="I128" s="72" t="s">
        <v>477</v>
      </c>
      <c r="J128" s="73" t="s">
        <v>476</v>
      </c>
      <c r="K128" s="74"/>
      <c r="L128" s="57">
        <f t="shared" si="8"/>
        <v>40000</v>
      </c>
      <c r="M128" s="58"/>
      <c r="N128" s="59"/>
      <c r="O128" s="60"/>
      <c r="P128" s="61"/>
      <c r="Q128" s="62"/>
      <c r="R128" s="63"/>
      <c r="S128" s="64"/>
      <c r="T128" s="65"/>
      <c r="U128" s="66"/>
      <c r="V128" s="67">
        <v>40000</v>
      </c>
      <c r="W128" s="65" t="s">
        <v>328</v>
      </c>
      <c r="X128" s="66" t="s">
        <v>318</v>
      </c>
      <c r="Y128" s="68"/>
    </row>
    <row r="129" spans="2:25" x14ac:dyDescent="0.4">
      <c r="B129" s="77">
        <f t="shared" si="9"/>
        <v>124</v>
      </c>
      <c r="C129" s="90" t="s">
        <v>136</v>
      </c>
      <c r="D129" s="91" t="s">
        <v>31</v>
      </c>
      <c r="E129" s="92"/>
      <c r="F129" s="90" t="s">
        <v>468</v>
      </c>
      <c r="G129" s="91" t="s">
        <v>468</v>
      </c>
      <c r="H129" s="92"/>
      <c r="I129" s="93" t="s">
        <v>478</v>
      </c>
      <c r="J129" s="94" t="s">
        <v>470</v>
      </c>
      <c r="K129" s="95"/>
      <c r="L129" s="6">
        <f t="shared" si="8"/>
        <v>60000</v>
      </c>
      <c r="M129" s="31"/>
      <c r="N129" s="20"/>
      <c r="O129" s="21"/>
      <c r="P129" s="15"/>
      <c r="Q129" s="16"/>
      <c r="R129" s="17"/>
      <c r="S129" s="36"/>
      <c r="T129" s="26"/>
      <c r="U129" s="27"/>
      <c r="V129" s="25">
        <v>60000</v>
      </c>
      <c r="W129" s="26" t="s">
        <v>328</v>
      </c>
      <c r="X129" s="27" t="s">
        <v>318</v>
      </c>
      <c r="Y129" s="39"/>
    </row>
    <row r="130" spans="2:25" x14ac:dyDescent="0.4">
      <c r="B130" s="4">
        <f t="shared" si="9"/>
        <v>125</v>
      </c>
      <c r="C130" s="41" t="s">
        <v>136</v>
      </c>
      <c r="D130" s="44" t="s">
        <v>31</v>
      </c>
      <c r="E130" s="43"/>
      <c r="F130" s="41" t="s">
        <v>468</v>
      </c>
      <c r="G130" s="44" t="s">
        <v>468</v>
      </c>
      <c r="H130" s="43"/>
      <c r="I130" s="47" t="s">
        <v>478</v>
      </c>
      <c r="J130" s="49" t="s">
        <v>471</v>
      </c>
      <c r="K130" s="48"/>
      <c r="L130" s="5">
        <f t="shared" si="8"/>
        <v>60000</v>
      </c>
      <c r="M130" s="30"/>
      <c r="N130" s="18"/>
      <c r="O130" s="19"/>
      <c r="P130" s="12"/>
      <c r="Q130" s="13"/>
      <c r="R130" s="14"/>
      <c r="S130" s="35"/>
      <c r="T130" s="23"/>
      <c r="U130" s="24"/>
      <c r="V130" s="22">
        <v>60000</v>
      </c>
      <c r="W130" s="23" t="s">
        <v>328</v>
      </c>
      <c r="X130" s="24" t="s">
        <v>318</v>
      </c>
      <c r="Y130" s="38"/>
    </row>
    <row r="131" spans="2:25" x14ac:dyDescent="0.4">
      <c r="B131" s="76">
        <f t="shared" si="9"/>
        <v>126</v>
      </c>
      <c r="C131" s="69" t="s">
        <v>136</v>
      </c>
      <c r="D131" s="70" t="s">
        <v>472</v>
      </c>
      <c r="E131" s="71"/>
      <c r="F131" s="69" t="s">
        <v>468</v>
      </c>
      <c r="G131" s="70" t="s">
        <v>468</v>
      </c>
      <c r="H131" s="71"/>
      <c r="I131" s="72" t="s">
        <v>478</v>
      </c>
      <c r="J131" s="73" t="s">
        <v>473</v>
      </c>
      <c r="K131" s="74"/>
      <c r="L131" s="57">
        <f t="shared" si="8"/>
        <v>50000</v>
      </c>
      <c r="M131" s="58"/>
      <c r="N131" s="59"/>
      <c r="O131" s="60"/>
      <c r="P131" s="61"/>
      <c r="Q131" s="62"/>
      <c r="R131" s="63"/>
      <c r="S131" s="64"/>
      <c r="T131" s="65"/>
      <c r="U131" s="66"/>
      <c r="V131" s="67">
        <v>50000</v>
      </c>
      <c r="W131" s="65" t="s">
        <v>328</v>
      </c>
      <c r="X131" s="66" t="s">
        <v>318</v>
      </c>
      <c r="Y131" s="68"/>
    </row>
    <row r="132" spans="2:25" x14ac:dyDescent="0.4">
      <c r="B132" s="77">
        <f t="shared" si="9"/>
        <v>127</v>
      </c>
      <c r="C132" s="90" t="s">
        <v>136</v>
      </c>
      <c r="D132" s="91" t="s">
        <v>472</v>
      </c>
      <c r="E132" s="92"/>
      <c r="F132" s="90" t="s">
        <v>468</v>
      </c>
      <c r="G132" s="91" t="s">
        <v>468</v>
      </c>
      <c r="H132" s="92"/>
      <c r="I132" s="93" t="s">
        <v>478</v>
      </c>
      <c r="J132" s="94" t="s">
        <v>474</v>
      </c>
      <c r="K132" s="95"/>
      <c r="L132" s="6">
        <f t="shared" si="8"/>
        <v>50000</v>
      </c>
      <c r="M132" s="31"/>
      <c r="N132" s="20"/>
      <c r="O132" s="21"/>
      <c r="P132" s="15"/>
      <c r="Q132" s="16"/>
      <c r="R132" s="17"/>
      <c r="S132" s="36"/>
      <c r="T132" s="26"/>
      <c r="U132" s="27"/>
      <c r="V132" s="25">
        <v>50000</v>
      </c>
      <c r="W132" s="26" t="s">
        <v>328</v>
      </c>
      <c r="X132" s="27" t="s">
        <v>318</v>
      </c>
      <c r="Y132" s="39"/>
    </row>
    <row r="133" spans="2:25" x14ac:dyDescent="0.4">
      <c r="B133" s="4">
        <f t="shared" si="9"/>
        <v>128</v>
      </c>
      <c r="C133" s="41" t="s">
        <v>136</v>
      </c>
      <c r="D133" s="44" t="s">
        <v>472</v>
      </c>
      <c r="E133" s="43"/>
      <c r="F133" s="41" t="s">
        <v>468</v>
      </c>
      <c r="G133" s="44" t="s">
        <v>468</v>
      </c>
      <c r="H133" s="43"/>
      <c r="I133" s="47" t="s">
        <v>478</v>
      </c>
      <c r="J133" s="49" t="s">
        <v>475</v>
      </c>
      <c r="K133" s="48"/>
      <c r="L133" s="5">
        <f t="shared" si="8"/>
        <v>50000</v>
      </c>
      <c r="M133" s="30"/>
      <c r="N133" s="18"/>
      <c r="O133" s="19"/>
      <c r="P133" s="12"/>
      <c r="Q133" s="13"/>
      <c r="R133" s="14"/>
      <c r="S133" s="35"/>
      <c r="T133" s="23"/>
      <c r="U133" s="24"/>
      <c r="V133" s="22">
        <v>50000</v>
      </c>
      <c r="W133" s="23" t="s">
        <v>328</v>
      </c>
      <c r="X133" s="24" t="s">
        <v>318</v>
      </c>
      <c r="Y133" s="38"/>
    </row>
    <row r="134" spans="2:25" x14ac:dyDescent="0.4">
      <c r="B134" s="76">
        <f t="shared" si="9"/>
        <v>129</v>
      </c>
      <c r="C134" s="69" t="s">
        <v>136</v>
      </c>
      <c r="D134" s="70" t="s">
        <v>472</v>
      </c>
      <c r="E134" s="71"/>
      <c r="F134" s="69" t="s">
        <v>468</v>
      </c>
      <c r="G134" s="70" t="s">
        <v>468</v>
      </c>
      <c r="H134" s="71"/>
      <c r="I134" s="72" t="s">
        <v>478</v>
      </c>
      <c r="J134" s="73" t="s">
        <v>476</v>
      </c>
      <c r="K134" s="74"/>
      <c r="L134" s="57">
        <f t="shared" si="8"/>
        <v>50000</v>
      </c>
      <c r="M134" s="58"/>
      <c r="N134" s="59"/>
      <c r="O134" s="60"/>
      <c r="P134" s="61"/>
      <c r="Q134" s="62"/>
      <c r="R134" s="63"/>
      <c r="S134" s="64"/>
      <c r="T134" s="65"/>
      <c r="U134" s="66"/>
      <c r="V134" s="67">
        <v>50000</v>
      </c>
      <c r="W134" s="65" t="s">
        <v>328</v>
      </c>
      <c r="X134" s="66" t="s">
        <v>318</v>
      </c>
      <c r="Y134" s="68"/>
    </row>
    <row r="135" spans="2:25" x14ac:dyDescent="0.4">
      <c r="B135" s="77">
        <f t="shared" si="9"/>
        <v>130</v>
      </c>
      <c r="C135" s="90" t="s">
        <v>136</v>
      </c>
      <c r="D135" s="91" t="s">
        <v>31</v>
      </c>
      <c r="E135" s="92"/>
      <c r="F135" s="90" t="s">
        <v>468</v>
      </c>
      <c r="G135" s="91" t="s">
        <v>468</v>
      </c>
      <c r="H135" s="92"/>
      <c r="I135" s="93" t="s">
        <v>479</v>
      </c>
      <c r="J135" s="94" t="s">
        <v>470</v>
      </c>
      <c r="K135" s="95"/>
      <c r="L135" s="6">
        <f t="shared" si="8"/>
        <v>60000</v>
      </c>
      <c r="M135" s="31"/>
      <c r="N135" s="20"/>
      <c r="O135" s="21"/>
      <c r="P135" s="15"/>
      <c r="Q135" s="16"/>
      <c r="R135" s="17"/>
      <c r="S135" s="36"/>
      <c r="T135" s="26"/>
      <c r="U135" s="27"/>
      <c r="V135" s="25">
        <v>60000</v>
      </c>
      <c r="W135" s="26" t="s">
        <v>328</v>
      </c>
      <c r="X135" s="27" t="s">
        <v>318</v>
      </c>
      <c r="Y135" s="39"/>
    </row>
    <row r="136" spans="2:25" x14ac:dyDescent="0.4">
      <c r="B136" s="4">
        <f t="shared" si="9"/>
        <v>131</v>
      </c>
      <c r="C136" s="41" t="s">
        <v>136</v>
      </c>
      <c r="D136" s="44" t="s">
        <v>31</v>
      </c>
      <c r="E136" s="43"/>
      <c r="F136" s="41" t="s">
        <v>468</v>
      </c>
      <c r="G136" s="44" t="s">
        <v>468</v>
      </c>
      <c r="H136" s="43"/>
      <c r="I136" s="47" t="s">
        <v>479</v>
      </c>
      <c r="J136" s="49" t="s">
        <v>471</v>
      </c>
      <c r="K136" s="48"/>
      <c r="L136" s="5">
        <f t="shared" si="8"/>
        <v>60000</v>
      </c>
      <c r="M136" s="30"/>
      <c r="N136" s="18"/>
      <c r="O136" s="19"/>
      <c r="P136" s="12"/>
      <c r="Q136" s="13"/>
      <c r="R136" s="14"/>
      <c r="S136" s="35"/>
      <c r="T136" s="23"/>
      <c r="U136" s="24"/>
      <c r="V136" s="22">
        <v>60000</v>
      </c>
      <c r="W136" s="23" t="s">
        <v>328</v>
      </c>
      <c r="X136" s="24" t="s">
        <v>318</v>
      </c>
      <c r="Y136" s="38"/>
    </row>
    <row r="137" spans="2:25" x14ac:dyDescent="0.4">
      <c r="B137" s="76">
        <f t="shared" si="9"/>
        <v>132</v>
      </c>
      <c r="C137" s="69" t="s">
        <v>136</v>
      </c>
      <c r="D137" s="70" t="s">
        <v>472</v>
      </c>
      <c r="E137" s="71"/>
      <c r="F137" s="69" t="s">
        <v>468</v>
      </c>
      <c r="G137" s="70" t="s">
        <v>468</v>
      </c>
      <c r="H137" s="71"/>
      <c r="I137" s="72" t="s">
        <v>479</v>
      </c>
      <c r="J137" s="73" t="s">
        <v>473</v>
      </c>
      <c r="K137" s="74"/>
      <c r="L137" s="57">
        <f t="shared" si="8"/>
        <v>50000</v>
      </c>
      <c r="M137" s="58"/>
      <c r="N137" s="59"/>
      <c r="O137" s="60"/>
      <c r="P137" s="61"/>
      <c r="Q137" s="62"/>
      <c r="R137" s="63"/>
      <c r="S137" s="64"/>
      <c r="T137" s="65"/>
      <c r="U137" s="66"/>
      <c r="V137" s="67">
        <v>50000</v>
      </c>
      <c r="W137" s="65" t="s">
        <v>328</v>
      </c>
      <c r="X137" s="66" t="s">
        <v>318</v>
      </c>
      <c r="Y137" s="68"/>
    </row>
    <row r="138" spans="2:25" x14ac:dyDescent="0.4">
      <c r="B138" s="77">
        <f t="shared" si="9"/>
        <v>133</v>
      </c>
      <c r="C138" s="90" t="s">
        <v>136</v>
      </c>
      <c r="D138" s="91" t="s">
        <v>472</v>
      </c>
      <c r="E138" s="92"/>
      <c r="F138" s="90" t="s">
        <v>468</v>
      </c>
      <c r="G138" s="91" t="s">
        <v>468</v>
      </c>
      <c r="H138" s="92"/>
      <c r="I138" s="93" t="s">
        <v>479</v>
      </c>
      <c r="J138" s="94" t="s">
        <v>474</v>
      </c>
      <c r="K138" s="95"/>
      <c r="L138" s="6">
        <f t="shared" si="8"/>
        <v>50000</v>
      </c>
      <c r="M138" s="31"/>
      <c r="N138" s="20"/>
      <c r="O138" s="21"/>
      <c r="P138" s="15"/>
      <c r="Q138" s="16"/>
      <c r="R138" s="17"/>
      <c r="S138" s="36"/>
      <c r="T138" s="26"/>
      <c r="U138" s="27"/>
      <c r="V138" s="25">
        <v>50000</v>
      </c>
      <c r="W138" s="26" t="s">
        <v>328</v>
      </c>
      <c r="X138" s="27" t="s">
        <v>318</v>
      </c>
      <c r="Y138" s="39"/>
    </row>
    <row r="139" spans="2:25" x14ac:dyDescent="0.4">
      <c r="B139" s="4">
        <f t="shared" si="9"/>
        <v>134</v>
      </c>
      <c r="C139" s="41" t="s">
        <v>136</v>
      </c>
      <c r="D139" s="44" t="s">
        <v>472</v>
      </c>
      <c r="E139" s="43"/>
      <c r="F139" s="41" t="s">
        <v>468</v>
      </c>
      <c r="G139" s="44" t="s">
        <v>468</v>
      </c>
      <c r="H139" s="43"/>
      <c r="I139" s="47" t="s">
        <v>479</v>
      </c>
      <c r="J139" s="49" t="s">
        <v>475</v>
      </c>
      <c r="K139" s="48"/>
      <c r="L139" s="5">
        <f t="shared" si="8"/>
        <v>50000</v>
      </c>
      <c r="M139" s="30"/>
      <c r="N139" s="18"/>
      <c r="O139" s="19"/>
      <c r="P139" s="12"/>
      <c r="Q139" s="13"/>
      <c r="R139" s="14"/>
      <c r="S139" s="35"/>
      <c r="T139" s="23"/>
      <c r="U139" s="24"/>
      <c r="V139" s="22">
        <v>50000</v>
      </c>
      <c r="W139" s="23" t="s">
        <v>328</v>
      </c>
      <c r="X139" s="24" t="s">
        <v>318</v>
      </c>
      <c r="Y139" s="38"/>
    </row>
    <row r="140" spans="2:25" x14ac:dyDescent="0.4">
      <c r="B140" s="76">
        <f t="shared" si="9"/>
        <v>135</v>
      </c>
      <c r="C140" s="69" t="s">
        <v>136</v>
      </c>
      <c r="D140" s="70" t="s">
        <v>472</v>
      </c>
      <c r="E140" s="71"/>
      <c r="F140" s="69" t="s">
        <v>468</v>
      </c>
      <c r="G140" s="70" t="s">
        <v>468</v>
      </c>
      <c r="H140" s="71"/>
      <c r="I140" s="72" t="s">
        <v>479</v>
      </c>
      <c r="J140" s="73" t="s">
        <v>476</v>
      </c>
      <c r="K140" s="74"/>
      <c r="L140" s="57">
        <f t="shared" si="8"/>
        <v>50000</v>
      </c>
      <c r="M140" s="58"/>
      <c r="N140" s="59"/>
      <c r="O140" s="60"/>
      <c r="P140" s="61"/>
      <c r="Q140" s="62"/>
      <c r="R140" s="63"/>
      <c r="S140" s="64"/>
      <c r="T140" s="65"/>
      <c r="U140" s="66"/>
      <c r="V140" s="67">
        <v>50000</v>
      </c>
      <c r="W140" s="65" t="s">
        <v>328</v>
      </c>
      <c r="X140" s="66" t="s">
        <v>318</v>
      </c>
      <c r="Y140" s="68"/>
    </row>
    <row r="141" spans="2:25" x14ac:dyDescent="0.4">
      <c r="B141" s="76">
        <f t="shared" si="9"/>
        <v>136</v>
      </c>
      <c r="C141" s="90" t="s">
        <v>136</v>
      </c>
      <c r="D141" s="91" t="s">
        <v>31</v>
      </c>
      <c r="E141" s="92"/>
      <c r="F141" s="90" t="s">
        <v>468</v>
      </c>
      <c r="G141" s="91" t="s">
        <v>468</v>
      </c>
      <c r="H141" s="92"/>
      <c r="I141" s="93" t="s">
        <v>480</v>
      </c>
      <c r="J141" s="94" t="s">
        <v>470</v>
      </c>
      <c r="K141" s="95"/>
      <c r="L141" s="6">
        <f t="shared" si="8"/>
        <v>60000</v>
      </c>
      <c r="M141" s="31"/>
      <c r="N141" s="20"/>
      <c r="O141" s="21"/>
      <c r="P141" s="15"/>
      <c r="Q141" s="16"/>
      <c r="R141" s="17"/>
      <c r="S141" s="36"/>
      <c r="T141" s="26"/>
      <c r="U141" s="27"/>
      <c r="V141" s="25">
        <v>60000</v>
      </c>
      <c r="W141" s="26" t="s">
        <v>328</v>
      </c>
      <c r="X141" s="27" t="s">
        <v>318</v>
      </c>
      <c r="Y141" s="39"/>
    </row>
    <row r="142" spans="2:25" x14ac:dyDescent="0.4">
      <c r="B142" s="76">
        <f t="shared" si="9"/>
        <v>137</v>
      </c>
      <c r="C142" s="41" t="s">
        <v>136</v>
      </c>
      <c r="D142" s="44" t="s">
        <v>31</v>
      </c>
      <c r="E142" s="43"/>
      <c r="F142" s="41" t="s">
        <v>468</v>
      </c>
      <c r="G142" s="44" t="s">
        <v>468</v>
      </c>
      <c r="H142" s="43"/>
      <c r="I142" s="47" t="s">
        <v>480</v>
      </c>
      <c r="J142" s="49" t="s">
        <v>471</v>
      </c>
      <c r="K142" s="48"/>
      <c r="L142" s="5">
        <f t="shared" si="8"/>
        <v>60000</v>
      </c>
      <c r="M142" s="30"/>
      <c r="N142" s="18"/>
      <c r="O142" s="19"/>
      <c r="P142" s="12"/>
      <c r="Q142" s="13"/>
      <c r="R142" s="14"/>
      <c r="S142" s="35"/>
      <c r="T142" s="23"/>
      <c r="U142" s="24"/>
      <c r="V142" s="22">
        <v>60000</v>
      </c>
      <c r="W142" s="23" t="s">
        <v>328</v>
      </c>
      <c r="X142" s="24" t="s">
        <v>318</v>
      </c>
      <c r="Y142" s="38"/>
    </row>
    <row r="143" spans="2:25" x14ac:dyDescent="0.4">
      <c r="B143" s="76">
        <f t="shared" si="9"/>
        <v>138</v>
      </c>
      <c r="C143" s="69" t="s">
        <v>136</v>
      </c>
      <c r="D143" s="70" t="s">
        <v>472</v>
      </c>
      <c r="E143" s="71"/>
      <c r="F143" s="69" t="s">
        <v>468</v>
      </c>
      <c r="G143" s="70" t="s">
        <v>468</v>
      </c>
      <c r="H143" s="71"/>
      <c r="I143" s="72" t="s">
        <v>480</v>
      </c>
      <c r="J143" s="73" t="s">
        <v>473</v>
      </c>
      <c r="K143" s="74"/>
      <c r="L143" s="57">
        <f t="shared" si="8"/>
        <v>50000</v>
      </c>
      <c r="M143" s="58"/>
      <c r="N143" s="59"/>
      <c r="O143" s="60"/>
      <c r="P143" s="61"/>
      <c r="Q143" s="62"/>
      <c r="R143" s="63"/>
      <c r="S143" s="64"/>
      <c r="T143" s="65"/>
      <c r="U143" s="66"/>
      <c r="V143" s="67">
        <v>50000</v>
      </c>
      <c r="W143" s="65" t="s">
        <v>328</v>
      </c>
      <c r="X143" s="66" t="s">
        <v>318</v>
      </c>
      <c r="Y143" s="68"/>
    </row>
    <row r="144" spans="2:25" x14ac:dyDescent="0.4">
      <c r="B144" s="76">
        <f t="shared" si="9"/>
        <v>139</v>
      </c>
      <c r="C144" s="90" t="s">
        <v>136</v>
      </c>
      <c r="D144" s="91" t="s">
        <v>472</v>
      </c>
      <c r="E144" s="92"/>
      <c r="F144" s="90" t="s">
        <v>468</v>
      </c>
      <c r="G144" s="91" t="s">
        <v>468</v>
      </c>
      <c r="H144" s="92"/>
      <c r="I144" s="93" t="s">
        <v>480</v>
      </c>
      <c r="J144" s="94" t="s">
        <v>474</v>
      </c>
      <c r="K144" s="95"/>
      <c r="L144" s="6">
        <f t="shared" si="8"/>
        <v>50000</v>
      </c>
      <c r="M144" s="31"/>
      <c r="N144" s="20"/>
      <c r="O144" s="21"/>
      <c r="P144" s="15"/>
      <c r="Q144" s="16"/>
      <c r="R144" s="17"/>
      <c r="S144" s="36"/>
      <c r="T144" s="26"/>
      <c r="U144" s="27"/>
      <c r="V144" s="25">
        <v>50000</v>
      </c>
      <c r="W144" s="26" t="s">
        <v>328</v>
      </c>
      <c r="X144" s="27" t="s">
        <v>318</v>
      </c>
      <c r="Y144" s="39"/>
    </row>
    <row r="145" spans="2:25" x14ac:dyDescent="0.4">
      <c r="B145" s="76">
        <f t="shared" si="9"/>
        <v>140</v>
      </c>
      <c r="C145" s="41" t="s">
        <v>136</v>
      </c>
      <c r="D145" s="44" t="s">
        <v>472</v>
      </c>
      <c r="E145" s="43"/>
      <c r="F145" s="41" t="s">
        <v>468</v>
      </c>
      <c r="G145" s="44" t="s">
        <v>468</v>
      </c>
      <c r="H145" s="43"/>
      <c r="I145" s="47" t="s">
        <v>480</v>
      </c>
      <c r="J145" s="49" t="s">
        <v>475</v>
      </c>
      <c r="K145" s="48"/>
      <c r="L145" s="5">
        <f t="shared" si="8"/>
        <v>50000</v>
      </c>
      <c r="M145" s="30"/>
      <c r="N145" s="18"/>
      <c r="O145" s="19"/>
      <c r="P145" s="12"/>
      <c r="Q145" s="13"/>
      <c r="R145" s="14"/>
      <c r="S145" s="35"/>
      <c r="T145" s="23"/>
      <c r="U145" s="24"/>
      <c r="V145" s="22">
        <v>50000</v>
      </c>
      <c r="W145" s="23" t="s">
        <v>328</v>
      </c>
      <c r="X145" s="24" t="s">
        <v>318</v>
      </c>
      <c r="Y145" s="38"/>
    </row>
    <row r="146" spans="2:25" x14ac:dyDescent="0.4">
      <c r="B146" s="76">
        <f t="shared" si="9"/>
        <v>141</v>
      </c>
      <c r="C146" s="69" t="s">
        <v>136</v>
      </c>
      <c r="D146" s="70" t="s">
        <v>472</v>
      </c>
      <c r="E146" s="71"/>
      <c r="F146" s="69" t="s">
        <v>468</v>
      </c>
      <c r="G146" s="70" t="s">
        <v>468</v>
      </c>
      <c r="H146" s="71"/>
      <c r="I146" s="72" t="s">
        <v>480</v>
      </c>
      <c r="J146" s="73" t="s">
        <v>476</v>
      </c>
      <c r="K146" s="74"/>
      <c r="L146" s="57">
        <f t="shared" si="8"/>
        <v>50000</v>
      </c>
      <c r="M146" s="58"/>
      <c r="N146" s="59"/>
      <c r="O146" s="60"/>
      <c r="P146" s="61"/>
      <c r="Q146" s="62"/>
      <c r="R146" s="63"/>
      <c r="S146" s="64"/>
      <c r="T146" s="65"/>
      <c r="U146" s="66"/>
      <c r="V146" s="67">
        <v>50000</v>
      </c>
      <c r="W146" s="65" t="s">
        <v>328</v>
      </c>
      <c r="X146" s="66" t="s">
        <v>318</v>
      </c>
      <c r="Y146" s="68"/>
    </row>
    <row r="147" spans="2:25" x14ac:dyDescent="0.4">
      <c r="B147" s="76">
        <f t="shared" si="9"/>
        <v>142</v>
      </c>
      <c r="C147" s="90" t="s">
        <v>136</v>
      </c>
      <c r="D147" s="91" t="s">
        <v>31</v>
      </c>
      <c r="E147" s="92"/>
      <c r="F147" s="90" t="s">
        <v>468</v>
      </c>
      <c r="G147" s="91" t="s">
        <v>468</v>
      </c>
      <c r="H147" s="92"/>
      <c r="I147" s="93" t="s">
        <v>481</v>
      </c>
      <c r="J147" s="94" t="s">
        <v>470</v>
      </c>
      <c r="K147" s="95"/>
      <c r="L147" s="6">
        <f t="shared" si="8"/>
        <v>60000</v>
      </c>
      <c r="M147" s="31"/>
      <c r="N147" s="20"/>
      <c r="O147" s="21"/>
      <c r="P147" s="15"/>
      <c r="Q147" s="16"/>
      <c r="R147" s="17"/>
      <c r="S147" s="36"/>
      <c r="T147" s="26"/>
      <c r="U147" s="27"/>
      <c r="V147" s="25">
        <v>60000</v>
      </c>
      <c r="W147" s="26" t="s">
        <v>328</v>
      </c>
      <c r="X147" s="27" t="s">
        <v>318</v>
      </c>
      <c r="Y147" s="39"/>
    </row>
    <row r="148" spans="2:25" x14ac:dyDescent="0.4">
      <c r="B148" s="76">
        <f t="shared" si="9"/>
        <v>143</v>
      </c>
      <c r="C148" s="41" t="s">
        <v>136</v>
      </c>
      <c r="D148" s="44" t="s">
        <v>31</v>
      </c>
      <c r="E148" s="43"/>
      <c r="F148" s="41" t="s">
        <v>468</v>
      </c>
      <c r="G148" s="44" t="s">
        <v>468</v>
      </c>
      <c r="H148" s="43"/>
      <c r="I148" s="47" t="s">
        <v>481</v>
      </c>
      <c r="J148" s="49" t="s">
        <v>471</v>
      </c>
      <c r="K148" s="48"/>
      <c r="L148" s="5">
        <f t="shared" si="8"/>
        <v>60000</v>
      </c>
      <c r="M148" s="30"/>
      <c r="N148" s="18"/>
      <c r="O148" s="19"/>
      <c r="P148" s="12"/>
      <c r="Q148" s="13"/>
      <c r="R148" s="14"/>
      <c r="S148" s="35"/>
      <c r="T148" s="23"/>
      <c r="U148" s="24"/>
      <c r="V148" s="22">
        <v>60000</v>
      </c>
      <c r="W148" s="23" t="s">
        <v>328</v>
      </c>
      <c r="X148" s="24" t="s">
        <v>318</v>
      </c>
      <c r="Y148" s="38"/>
    </row>
    <row r="149" spans="2:25" x14ac:dyDescent="0.4">
      <c r="B149" s="76">
        <f t="shared" si="9"/>
        <v>144</v>
      </c>
      <c r="C149" s="69" t="s">
        <v>136</v>
      </c>
      <c r="D149" s="70" t="s">
        <v>472</v>
      </c>
      <c r="E149" s="71"/>
      <c r="F149" s="69" t="s">
        <v>468</v>
      </c>
      <c r="G149" s="70" t="s">
        <v>468</v>
      </c>
      <c r="H149" s="71"/>
      <c r="I149" s="72" t="s">
        <v>481</v>
      </c>
      <c r="J149" s="73" t="s">
        <v>473</v>
      </c>
      <c r="K149" s="74"/>
      <c r="L149" s="57">
        <f t="shared" si="8"/>
        <v>50000</v>
      </c>
      <c r="M149" s="58"/>
      <c r="N149" s="59"/>
      <c r="O149" s="60"/>
      <c r="P149" s="61"/>
      <c r="Q149" s="62"/>
      <c r="R149" s="63"/>
      <c r="S149" s="64"/>
      <c r="T149" s="65"/>
      <c r="U149" s="66"/>
      <c r="V149" s="67">
        <v>50000</v>
      </c>
      <c r="W149" s="65" t="s">
        <v>328</v>
      </c>
      <c r="X149" s="66" t="s">
        <v>318</v>
      </c>
      <c r="Y149" s="68"/>
    </row>
    <row r="150" spans="2:25" x14ac:dyDescent="0.4">
      <c r="B150" s="76">
        <f t="shared" si="9"/>
        <v>145</v>
      </c>
      <c r="C150" s="90" t="s">
        <v>136</v>
      </c>
      <c r="D150" s="91" t="s">
        <v>472</v>
      </c>
      <c r="E150" s="92"/>
      <c r="F150" s="90" t="s">
        <v>468</v>
      </c>
      <c r="G150" s="91" t="s">
        <v>468</v>
      </c>
      <c r="H150" s="92"/>
      <c r="I150" s="93" t="s">
        <v>481</v>
      </c>
      <c r="J150" s="94" t="s">
        <v>474</v>
      </c>
      <c r="K150" s="95"/>
      <c r="L150" s="6">
        <f t="shared" si="8"/>
        <v>50000</v>
      </c>
      <c r="M150" s="31"/>
      <c r="N150" s="20"/>
      <c r="O150" s="21"/>
      <c r="P150" s="15"/>
      <c r="Q150" s="16"/>
      <c r="R150" s="17"/>
      <c r="S150" s="36"/>
      <c r="T150" s="26"/>
      <c r="U150" s="27"/>
      <c r="V150" s="25">
        <v>50000</v>
      </c>
      <c r="W150" s="26" t="s">
        <v>328</v>
      </c>
      <c r="X150" s="27" t="s">
        <v>318</v>
      </c>
      <c r="Y150" s="39"/>
    </row>
    <row r="151" spans="2:25" x14ac:dyDescent="0.4">
      <c r="B151" s="76">
        <f t="shared" si="9"/>
        <v>146</v>
      </c>
      <c r="C151" s="41" t="s">
        <v>136</v>
      </c>
      <c r="D151" s="44" t="s">
        <v>472</v>
      </c>
      <c r="E151" s="43"/>
      <c r="F151" s="41" t="s">
        <v>468</v>
      </c>
      <c r="G151" s="44" t="s">
        <v>468</v>
      </c>
      <c r="H151" s="43"/>
      <c r="I151" s="47" t="s">
        <v>481</v>
      </c>
      <c r="J151" s="49" t="s">
        <v>475</v>
      </c>
      <c r="K151" s="48"/>
      <c r="L151" s="5">
        <f t="shared" si="8"/>
        <v>50000</v>
      </c>
      <c r="M151" s="30"/>
      <c r="N151" s="18"/>
      <c r="O151" s="19"/>
      <c r="P151" s="12"/>
      <c r="Q151" s="13"/>
      <c r="R151" s="14"/>
      <c r="S151" s="35"/>
      <c r="T151" s="23"/>
      <c r="U151" s="24"/>
      <c r="V151" s="22">
        <v>50000</v>
      </c>
      <c r="W151" s="23" t="s">
        <v>328</v>
      </c>
      <c r="X151" s="24" t="s">
        <v>318</v>
      </c>
      <c r="Y151" s="38"/>
    </row>
    <row r="152" spans="2:25" x14ac:dyDescent="0.4">
      <c r="B152" s="76">
        <f t="shared" si="9"/>
        <v>147</v>
      </c>
      <c r="C152" s="69" t="s">
        <v>136</v>
      </c>
      <c r="D152" s="70" t="s">
        <v>472</v>
      </c>
      <c r="E152" s="71"/>
      <c r="F152" s="69" t="s">
        <v>468</v>
      </c>
      <c r="G152" s="70" t="s">
        <v>468</v>
      </c>
      <c r="H152" s="71"/>
      <c r="I152" s="72" t="s">
        <v>481</v>
      </c>
      <c r="J152" s="73" t="s">
        <v>476</v>
      </c>
      <c r="K152" s="74"/>
      <c r="L152" s="57">
        <f t="shared" si="8"/>
        <v>50000</v>
      </c>
      <c r="M152" s="58"/>
      <c r="N152" s="59"/>
      <c r="O152" s="60"/>
      <c r="P152" s="61"/>
      <c r="Q152" s="62"/>
      <c r="R152" s="63"/>
      <c r="S152" s="64"/>
      <c r="T152" s="65"/>
      <c r="U152" s="66"/>
      <c r="V152" s="67">
        <v>50000</v>
      </c>
      <c r="W152" s="65" t="s">
        <v>328</v>
      </c>
      <c r="X152" s="66" t="s">
        <v>318</v>
      </c>
      <c r="Y152" s="68"/>
    </row>
    <row r="153" spans="2:25" x14ac:dyDescent="0.4">
      <c r="B153" s="76">
        <f t="shared" si="9"/>
        <v>148</v>
      </c>
      <c r="C153" s="90" t="s">
        <v>136</v>
      </c>
      <c r="D153" s="91" t="s">
        <v>31</v>
      </c>
      <c r="E153" s="92"/>
      <c r="F153" s="90" t="s">
        <v>468</v>
      </c>
      <c r="G153" s="91" t="s">
        <v>468</v>
      </c>
      <c r="H153" s="92"/>
      <c r="I153" s="93" t="s">
        <v>482</v>
      </c>
      <c r="J153" s="94" t="s">
        <v>470</v>
      </c>
      <c r="K153" s="95"/>
      <c r="L153" s="6">
        <f t="shared" si="8"/>
        <v>60000</v>
      </c>
      <c r="M153" s="31"/>
      <c r="N153" s="20"/>
      <c r="O153" s="21"/>
      <c r="P153" s="15"/>
      <c r="Q153" s="16"/>
      <c r="R153" s="17"/>
      <c r="S153" s="36"/>
      <c r="T153" s="26"/>
      <c r="U153" s="27"/>
      <c r="V153" s="25">
        <v>60000</v>
      </c>
      <c r="W153" s="26" t="s">
        <v>328</v>
      </c>
      <c r="X153" s="27" t="s">
        <v>318</v>
      </c>
      <c r="Y153" s="39"/>
    </row>
    <row r="154" spans="2:25" x14ac:dyDescent="0.4">
      <c r="B154" s="76">
        <f t="shared" si="9"/>
        <v>149</v>
      </c>
      <c r="C154" s="41" t="s">
        <v>136</v>
      </c>
      <c r="D154" s="44" t="s">
        <v>31</v>
      </c>
      <c r="E154" s="43"/>
      <c r="F154" s="41" t="s">
        <v>468</v>
      </c>
      <c r="G154" s="44" t="s">
        <v>468</v>
      </c>
      <c r="H154" s="43"/>
      <c r="I154" s="47" t="s">
        <v>482</v>
      </c>
      <c r="J154" s="49" t="s">
        <v>471</v>
      </c>
      <c r="K154" s="48"/>
      <c r="L154" s="5">
        <f t="shared" si="8"/>
        <v>60000</v>
      </c>
      <c r="M154" s="30"/>
      <c r="N154" s="18"/>
      <c r="O154" s="19"/>
      <c r="P154" s="12"/>
      <c r="Q154" s="13"/>
      <c r="R154" s="14"/>
      <c r="S154" s="35"/>
      <c r="T154" s="23"/>
      <c r="U154" s="24"/>
      <c r="V154" s="22">
        <v>60000</v>
      </c>
      <c r="W154" s="23" t="s">
        <v>328</v>
      </c>
      <c r="X154" s="24" t="s">
        <v>318</v>
      </c>
      <c r="Y154" s="38"/>
    </row>
    <row r="155" spans="2:25" x14ac:dyDescent="0.4">
      <c r="B155" s="76">
        <f t="shared" si="9"/>
        <v>150</v>
      </c>
      <c r="C155" s="69" t="s">
        <v>136</v>
      </c>
      <c r="D155" s="70" t="s">
        <v>472</v>
      </c>
      <c r="E155" s="71"/>
      <c r="F155" s="69" t="s">
        <v>468</v>
      </c>
      <c r="G155" s="70" t="s">
        <v>468</v>
      </c>
      <c r="H155" s="71"/>
      <c r="I155" s="72" t="s">
        <v>482</v>
      </c>
      <c r="J155" s="73" t="s">
        <v>473</v>
      </c>
      <c r="K155" s="74"/>
      <c r="L155" s="57">
        <f t="shared" si="8"/>
        <v>50000</v>
      </c>
      <c r="M155" s="58"/>
      <c r="N155" s="59"/>
      <c r="O155" s="60"/>
      <c r="P155" s="61"/>
      <c r="Q155" s="62"/>
      <c r="R155" s="63"/>
      <c r="S155" s="64"/>
      <c r="T155" s="65"/>
      <c r="U155" s="66"/>
      <c r="V155" s="67">
        <v>50000</v>
      </c>
      <c r="W155" s="65" t="s">
        <v>328</v>
      </c>
      <c r="X155" s="66" t="s">
        <v>318</v>
      </c>
      <c r="Y155" s="68"/>
    </row>
    <row r="156" spans="2:25" x14ac:dyDescent="0.4">
      <c r="B156" s="76">
        <f t="shared" si="9"/>
        <v>151</v>
      </c>
      <c r="C156" s="90" t="s">
        <v>136</v>
      </c>
      <c r="D156" s="91" t="s">
        <v>472</v>
      </c>
      <c r="E156" s="92"/>
      <c r="F156" s="90" t="s">
        <v>468</v>
      </c>
      <c r="G156" s="91" t="s">
        <v>468</v>
      </c>
      <c r="H156" s="92"/>
      <c r="I156" s="93" t="s">
        <v>482</v>
      </c>
      <c r="J156" s="94" t="s">
        <v>474</v>
      </c>
      <c r="K156" s="95"/>
      <c r="L156" s="6">
        <f t="shared" si="8"/>
        <v>50000</v>
      </c>
      <c r="M156" s="31"/>
      <c r="N156" s="20"/>
      <c r="O156" s="21"/>
      <c r="P156" s="15"/>
      <c r="Q156" s="16"/>
      <c r="R156" s="17"/>
      <c r="S156" s="36"/>
      <c r="T156" s="26"/>
      <c r="U156" s="27"/>
      <c r="V156" s="25">
        <v>50000</v>
      </c>
      <c r="W156" s="26" t="s">
        <v>328</v>
      </c>
      <c r="X156" s="27" t="s">
        <v>318</v>
      </c>
      <c r="Y156" s="39"/>
    </row>
    <row r="157" spans="2:25" x14ac:dyDescent="0.4">
      <c r="B157" s="76">
        <f t="shared" si="9"/>
        <v>152</v>
      </c>
      <c r="C157" s="41" t="s">
        <v>136</v>
      </c>
      <c r="D157" s="44" t="s">
        <v>472</v>
      </c>
      <c r="E157" s="43"/>
      <c r="F157" s="41" t="s">
        <v>468</v>
      </c>
      <c r="G157" s="44" t="s">
        <v>468</v>
      </c>
      <c r="H157" s="43"/>
      <c r="I157" s="47" t="s">
        <v>482</v>
      </c>
      <c r="J157" s="49" t="s">
        <v>475</v>
      </c>
      <c r="K157" s="48"/>
      <c r="L157" s="5">
        <f t="shared" si="8"/>
        <v>50000</v>
      </c>
      <c r="M157" s="30"/>
      <c r="N157" s="18"/>
      <c r="O157" s="19"/>
      <c r="P157" s="12"/>
      <c r="Q157" s="13"/>
      <c r="R157" s="14"/>
      <c r="S157" s="35"/>
      <c r="T157" s="23"/>
      <c r="U157" s="24"/>
      <c r="V157" s="22">
        <v>50000</v>
      </c>
      <c r="W157" s="23" t="s">
        <v>328</v>
      </c>
      <c r="X157" s="24" t="s">
        <v>318</v>
      </c>
      <c r="Y157" s="38"/>
    </row>
    <row r="158" spans="2:25" x14ac:dyDescent="0.4">
      <c r="B158" s="76">
        <f t="shared" si="9"/>
        <v>153</v>
      </c>
      <c r="C158" s="69" t="s">
        <v>136</v>
      </c>
      <c r="D158" s="70" t="s">
        <v>472</v>
      </c>
      <c r="E158" s="71"/>
      <c r="F158" s="69" t="s">
        <v>468</v>
      </c>
      <c r="G158" s="70" t="s">
        <v>468</v>
      </c>
      <c r="H158" s="71"/>
      <c r="I158" s="72" t="s">
        <v>482</v>
      </c>
      <c r="J158" s="73" t="s">
        <v>476</v>
      </c>
      <c r="K158" s="74"/>
      <c r="L158" s="57">
        <f t="shared" si="8"/>
        <v>50000</v>
      </c>
      <c r="M158" s="58"/>
      <c r="N158" s="59"/>
      <c r="O158" s="60"/>
      <c r="P158" s="61"/>
      <c r="Q158" s="62"/>
      <c r="R158" s="63"/>
      <c r="S158" s="64"/>
      <c r="T158" s="65"/>
      <c r="U158" s="66"/>
      <c r="V158" s="67">
        <v>50000</v>
      </c>
      <c r="W158" s="65" t="s">
        <v>328</v>
      </c>
      <c r="X158" s="66" t="s">
        <v>318</v>
      </c>
      <c r="Y158" s="68"/>
    </row>
    <row r="159" spans="2:25" x14ac:dyDescent="0.4">
      <c r="B159" s="76">
        <f t="shared" si="9"/>
        <v>154</v>
      </c>
      <c r="C159" s="90" t="s">
        <v>136</v>
      </c>
      <c r="D159" s="91" t="s">
        <v>31</v>
      </c>
      <c r="E159" s="92"/>
      <c r="F159" s="90" t="s">
        <v>468</v>
      </c>
      <c r="G159" s="91" t="s">
        <v>468</v>
      </c>
      <c r="H159" s="92"/>
      <c r="I159" s="93" t="s">
        <v>483</v>
      </c>
      <c r="J159" s="94" t="s">
        <v>470</v>
      </c>
      <c r="K159" s="95"/>
      <c r="L159" s="6">
        <f>SUM(M159,P159,S159,V159)</f>
        <v>60000</v>
      </c>
      <c r="M159" s="31"/>
      <c r="N159" s="20"/>
      <c r="O159" s="21"/>
      <c r="P159" s="15"/>
      <c r="Q159" s="16"/>
      <c r="R159" s="17"/>
      <c r="S159" s="36"/>
      <c r="T159" s="26"/>
      <c r="U159" s="27"/>
      <c r="V159" s="25">
        <v>60000</v>
      </c>
      <c r="W159" s="26" t="s">
        <v>328</v>
      </c>
      <c r="X159" s="27" t="s">
        <v>318</v>
      </c>
      <c r="Y159" s="39"/>
    </row>
    <row r="160" spans="2:25" x14ac:dyDescent="0.4">
      <c r="B160" s="76">
        <f t="shared" si="9"/>
        <v>155</v>
      </c>
      <c r="C160" s="41" t="s">
        <v>136</v>
      </c>
      <c r="D160" s="44" t="s">
        <v>31</v>
      </c>
      <c r="E160" s="43"/>
      <c r="F160" s="41" t="s">
        <v>468</v>
      </c>
      <c r="G160" s="44" t="s">
        <v>468</v>
      </c>
      <c r="H160" s="43"/>
      <c r="I160" s="47" t="s">
        <v>483</v>
      </c>
      <c r="J160" s="49" t="s">
        <v>471</v>
      </c>
      <c r="K160" s="48"/>
      <c r="L160" s="5">
        <f>SUM(M160,P160,S160,V160)</f>
        <v>60000</v>
      </c>
      <c r="M160" s="30"/>
      <c r="N160" s="18"/>
      <c r="O160" s="19"/>
      <c r="P160" s="12"/>
      <c r="Q160" s="13"/>
      <c r="R160" s="14"/>
      <c r="S160" s="35"/>
      <c r="T160" s="23"/>
      <c r="U160" s="24"/>
      <c r="V160" s="22">
        <v>60000</v>
      </c>
      <c r="W160" s="23" t="s">
        <v>328</v>
      </c>
      <c r="X160" s="24" t="s">
        <v>318</v>
      </c>
      <c r="Y160" s="38"/>
    </row>
    <row r="161" spans="2:25" x14ac:dyDescent="0.4">
      <c r="B161" s="76">
        <f t="shared" si="9"/>
        <v>156</v>
      </c>
      <c r="C161" s="69" t="s">
        <v>136</v>
      </c>
      <c r="D161" s="70" t="s">
        <v>472</v>
      </c>
      <c r="E161" s="71"/>
      <c r="F161" s="69" t="s">
        <v>468</v>
      </c>
      <c r="G161" s="70" t="s">
        <v>468</v>
      </c>
      <c r="H161" s="71"/>
      <c r="I161" s="72" t="s">
        <v>483</v>
      </c>
      <c r="J161" s="73" t="s">
        <v>473</v>
      </c>
      <c r="K161" s="74"/>
      <c r="L161" s="57">
        <f t="shared" ref="L161:L180" si="10">SUM(M161,P161,S161,V161)</f>
        <v>50000</v>
      </c>
      <c r="M161" s="58"/>
      <c r="N161" s="59"/>
      <c r="O161" s="60"/>
      <c r="P161" s="61"/>
      <c r="Q161" s="62"/>
      <c r="R161" s="63"/>
      <c r="S161" s="64"/>
      <c r="T161" s="65"/>
      <c r="U161" s="66"/>
      <c r="V161" s="67">
        <v>50000</v>
      </c>
      <c r="W161" s="65" t="s">
        <v>328</v>
      </c>
      <c r="X161" s="66" t="s">
        <v>318</v>
      </c>
      <c r="Y161" s="68"/>
    </row>
    <row r="162" spans="2:25" x14ac:dyDescent="0.4">
      <c r="B162" s="77">
        <f t="shared" si="9"/>
        <v>157</v>
      </c>
      <c r="C162" s="90" t="s">
        <v>136</v>
      </c>
      <c r="D162" s="91" t="s">
        <v>472</v>
      </c>
      <c r="E162" s="92"/>
      <c r="F162" s="90" t="s">
        <v>468</v>
      </c>
      <c r="G162" s="91" t="s">
        <v>468</v>
      </c>
      <c r="H162" s="92"/>
      <c r="I162" s="93" t="s">
        <v>483</v>
      </c>
      <c r="J162" s="94" t="s">
        <v>474</v>
      </c>
      <c r="K162" s="95"/>
      <c r="L162" s="6">
        <f t="shared" si="10"/>
        <v>50000</v>
      </c>
      <c r="M162" s="31"/>
      <c r="N162" s="20"/>
      <c r="O162" s="21"/>
      <c r="P162" s="15"/>
      <c r="Q162" s="16"/>
      <c r="R162" s="17"/>
      <c r="S162" s="36"/>
      <c r="T162" s="26"/>
      <c r="U162" s="27"/>
      <c r="V162" s="25">
        <v>50000</v>
      </c>
      <c r="W162" s="26" t="s">
        <v>328</v>
      </c>
      <c r="X162" s="27" t="s">
        <v>318</v>
      </c>
      <c r="Y162" s="39"/>
    </row>
    <row r="163" spans="2:25" x14ac:dyDescent="0.4">
      <c r="B163" s="4">
        <f t="shared" si="9"/>
        <v>158</v>
      </c>
      <c r="C163" s="41" t="s">
        <v>136</v>
      </c>
      <c r="D163" s="44" t="s">
        <v>472</v>
      </c>
      <c r="E163" s="43"/>
      <c r="F163" s="41" t="s">
        <v>468</v>
      </c>
      <c r="G163" s="44" t="s">
        <v>468</v>
      </c>
      <c r="H163" s="43"/>
      <c r="I163" s="47" t="s">
        <v>483</v>
      </c>
      <c r="J163" s="49" t="s">
        <v>475</v>
      </c>
      <c r="K163" s="48"/>
      <c r="L163" s="5">
        <f t="shared" si="10"/>
        <v>50000</v>
      </c>
      <c r="M163" s="30"/>
      <c r="N163" s="18"/>
      <c r="O163" s="19"/>
      <c r="P163" s="12"/>
      <c r="Q163" s="13"/>
      <c r="R163" s="14"/>
      <c r="S163" s="35"/>
      <c r="T163" s="23"/>
      <c r="U163" s="24"/>
      <c r="V163" s="22">
        <v>50000</v>
      </c>
      <c r="W163" s="23" t="s">
        <v>328</v>
      </c>
      <c r="X163" s="24" t="s">
        <v>318</v>
      </c>
      <c r="Y163" s="38"/>
    </row>
    <row r="164" spans="2:25" x14ac:dyDescent="0.4">
      <c r="B164" s="76">
        <f t="shared" si="9"/>
        <v>159</v>
      </c>
      <c r="C164" s="69" t="s">
        <v>136</v>
      </c>
      <c r="D164" s="70" t="s">
        <v>472</v>
      </c>
      <c r="E164" s="71"/>
      <c r="F164" s="69" t="s">
        <v>468</v>
      </c>
      <c r="G164" s="70" t="s">
        <v>468</v>
      </c>
      <c r="H164" s="71"/>
      <c r="I164" s="72" t="s">
        <v>483</v>
      </c>
      <c r="J164" s="73" t="s">
        <v>476</v>
      </c>
      <c r="K164" s="74"/>
      <c r="L164" s="57">
        <f t="shared" si="10"/>
        <v>50000</v>
      </c>
      <c r="M164" s="58"/>
      <c r="N164" s="59"/>
      <c r="O164" s="60"/>
      <c r="P164" s="61"/>
      <c r="Q164" s="62"/>
      <c r="R164" s="63"/>
      <c r="S164" s="64"/>
      <c r="T164" s="65"/>
      <c r="U164" s="66"/>
      <c r="V164" s="67">
        <v>50000</v>
      </c>
      <c r="W164" s="65" t="s">
        <v>328</v>
      </c>
      <c r="X164" s="66" t="s">
        <v>318</v>
      </c>
      <c r="Y164" s="68"/>
    </row>
    <row r="165" spans="2:25" x14ac:dyDescent="0.4">
      <c r="B165" s="77">
        <f t="shared" si="9"/>
        <v>160</v>
      </c>
      <c r="C165" s="90" t="s">
        <v>136</v>
      </c>
      <c r="D165" s="91" t="s">
        <v>31</v>
      </c>
      <c r="E165" s="92"/>
      <c r="F165" s="90" t="s">
        <v>468</v>
      </c>
      <c r="G165" s="91" t="s">
        <v>468</v>
      </c>
      <c r="H165" s="92"/>
      <c r="I165" s="93" t="s">
        <v>484</v>
      </c>
      <c r="J165" s="94" t="s">
        <v>470</v>
      </c>
      <c r="K165" s="95"/>
      <c r="L165" s="6">
        <f t="shared" si="10"/>
        <v>60000</v>
      </c>
      <c r="M165" s="31"/>
      <c r="N165" s="20"/>
      <c r="O165" s="21"/>
      <c r="P165" s="15"/>
      <c r="Q165" s="16"/>
      <c r="R165" s="17"/>
      <c r="S165" s="36"/>
      <c r="T165" s="26"/>
      <c r="U165" s="27"/>
      <c r="V165" s="25">
        <v>60000</v>
      </c>
      <c r="W165" s="26" t="s">
        <v>328</v>
      </c>
      <c r="X165" s="27" t="s">
        <v>318</v>
      </c>
      <c r="Y165" s="39"/>
    </row>
    <row r="166" spans="2:25" x14ac:dyDescent="0.4">
      <c r="B166" s="4">
        <f t="shared" si="9"/>
        <v>161</v>
      </c>
      <c r="C166" s="41" t="s">
        <v>136</v>
      </c>
      <c r="D166" s="44" t="s">
        <v>31</v>
      </c>
      <c r="E166" s="43"/>
      <c r="F166" s="41" t="s">
        <v>468</v>
      </c>
      <c r="G166" s="44" t="s">
        <v>468</v>
      </c>
      <c r="H166" s="43"/>
      <c r="I166" s="47" t="s">
        <v>484</v>
      </c>
      <c r="J166" s="49" t="s">
        <v>471</v>
      </c>
      <c r="K166" s="48"/>
      <c r="L166" s="5">
        <f t="shared" si="10"/>
        <v>60000</v>
      </c>
      <c r="M166" s="30"/>
      <c r="N166" s="18"/>
      <c r="O166" s="19"/>
      <c r="P166" s="12"/>
      <c r="Q166" s="13"/>
      <c r="R166" s="14"/>
      <c r="S166" s="35"/>
      <c r="T166" s="23"/>
      <c r="U166" s="24"/>
      <c r="V166" s="22">
        <v>60000</v>
      </c>
      <c r="W166" s="23" t="s">
        <v>328</v>
      </c>
      <c r="X166" s="24" t="s">
        <v>318</v>
      </c>
      <c r="Y166" s="38"/>
    </row>
    <row r="167" spans="2:25" x14ac:dyDescent="0.4">
      <c r="B167" s="76">
        <f t="shared" si="9"/>
        <v>162</v>
      </c>
      <c r="C167" s="69" t="s">
        <v>136</v>
      </c>
      <c r="D167" s="70" t="s">
        <v>472</v>
      </c>
      <c r="E167" s="71"/>
      <c r="F167" s="69" t="s">
        <v>468</v>
      </c>
      <c r="G167" s="70" t="s">
        <v>468</v>
      </c>
      <c r="H167" s="71"/>
      <c r="I167" s="72" t="s">
        <v>484</v>
      </c>
      <c r="J167" s="73" t="s">
        <v>473</v>
      </c>
      <c r="K167" s="74"/>
      <c r="L167" s="57">
        <f t="shared" si="10"/>
        <v>50000</v>
      </c>
      <c r="M167" s="58"/>
      <c r="N167" s="59"/>
      <c r="O167" s="60"/>
      <c r="P167" s="61"/>
      <c r="Q167" s="62"/>
      <c r="R167" s="63"/>
      <c r="S167" s="64"/>
      <c r="T167" s="65"/>
      <c r="U167" s="66"/>
      <c r="V167" s="67">
        <v>50000</v>
      </c>
      <c r="W167" s="65" t="s">
        <v>328</v>
      </c>
      <c r="X167" s="66" t="s">
        <v>318</v>
      </c>
      <c r="Y167" s="68"/>
    </row>
    <row r="168" spans="2:25" x14ac:dyDescent="0.4">
      <c r="B168" s="77">
        <f t="shared" si="9"/>
        <v>163</v>
      </c>
      <c r="C168" s="90" t="s">
        <v>136</v>
      </c>
      <c r="D168" s="91" t="s">
        <v>472</v>
      </c>
      <c r="E168" s="92"/>
      <c r="F168" s="90" t="s">
        <v>468</v>
      </c>
      <c r="G168" s="91" t="s">
        <v>468</v>
      </c>
      <c r="H168" s="92"/>
      <c r="I168" s="93" t="s">
        <v>484</v>
      </c>
      <c r="J168" s="94" t="s">
        <v>474</v>
      </c>
      <c r="K168" s="95"/>
      <c r="L168" s="6">
        <f t="shared" si="10"/>
        <v>50000</v>
      </c>
      <c r="M168" s="31"/>
      <c r="N168" s="20"/>
      <c r="O168" s="21"/>
      <c r="P168" s="15"/>
      <c r="Q168" s="16"/>
      <c r="R168" s="17"/>
      <c r="S168" s="36"/>
      <c r="T168" s="26"/>
      <c r="U168" s="27"/>
      <c r="V168" s="25">
        <v>50000</v>
      </c>
      <c r="W168" s="26" t="s">
        <v>328</v>
      </c>
      <c r="X168" s="27" t="s">
        <v>318</v>
      </c>
      <c r="Y168" s="39"/>
    </row>
    <row r="169" spans="2:25" x14ac:dyDescent="0.4">
      <c r="B169" s="4">
        <f t="shared" si="9"/>
        <v>164</v>
      </c>
      <c r="C169" s="41" t="s">
        <v>136</v>
      </c>
      <c r="D169" s="44" t="s">
        <v>472</v>
      </c>
      <c r="E169" s="43"/>
      <c r="F169" s="41" t="s">
        <v>468</v>
      </c>
      <c r="G169" s="44" t="s">
        <v>468</v>
      </c>
      <c r="H169" s="43"/>
      <c r="I169" s="47" t="s">
        <v>484</v>
      </c>
      <c r="J169" s="49" t="s">
        <v>475</v>
      </c>
      <c r="K169" s="48"/>
      <c r="L169" s="5">
        <f t="shared" si="10"/>
        <v>50000</v>
      </c>
      <c r="M169" s="30"/>
      <c r="N169" s="18"/>
      <c r="O169" s="19"/>
      <c r="P169" s="12"/>
      <c r="Q169" s="13"/>
      <c r="R169" s="14"/>
      <c r="S169" s="35"/>
      <c r="T169" s="23"/>
      <c r="U169" s="24"/>
      <c r="V169" s="22">
        <v>50000</v>
      </c>
      <c r="W169" s="23" t="s">
        <v>328</v>
      </c>
      <c r="X169" s="24" t="s">
        <v>318</v>
      </c>
      <c r="Y169" s="38"/>
    </row>
    <row r="170" spans="2:25" x14ac:dyDescent="0.4">
      <c r="B170" s="76"/>
      <c r="C170" s="69" t="s">
        <v>136</v>
      </c>
      <c r="D170" s="70" t="s">
        <v>472</v>
      </c>
      <c r="E170" s="71"/>
      <c r="F170" s="69" t="s">
        <v>468</v>
      </c>
      <c r="G170" s="70" t="s">
        <v>468</v>
      </c>
      <c r="H170" s="71"/>
      <c r="I170" s="72" t="s">
        <v>484</v>
      </c>
      <c r="J170" s="73" t="s">
        <v>476</v>
      </c>
      <c r="K170" s="74"/>
      <c r="L170" s="57">
        <f t="shared" si="10"/>
        <v>50000</v>
      </c>
      <c r="M170" s="58"/>
      <c r="N170" s="59"/>
      <c r="O170" s="60"/>
      <c r="P170" s="61"/>
      <c r="Q170" s="62"/>
      <c r="R170" s="63"/>
      <c r="S170" s="64"/>
      <c r="T170" s="65"/>
      <c r="U170" s="66"/>
      <c r="V170" s="67">
        <v>50000</v>
      </c>
      <c r="W170" s="65" t="s">
        <v>328</v>
      </c>
      <c r="X170" s="66" t="s">
        <v>318</v>
      </c>
      <c r="Y170" s="68"/>
    </row>
    <row r="171" spans="2:25" x14ac:dyDescent="0.4">
      <c r="B171" s="77"/>
      <c r="C171" s="90" t="s">
        <v>136</v>
      </c>
      <c r="D171" s="91" t="s">
        <v>31</v>
      </c>
      <c r="E171" s="92"/>
      <c r="F171" s="90" t="s">
        <v>468</v>
      </c>
      <c r="G171" s="91" t="s">
        <v>468</v>
      </c>
      <c r="H171" s="92"/>
      <c r="I171" s="93" t="s">
        <v>485</v>
      </c>
      <c r="J171" s="94" t="s">
        <v>470</v>
      </c>
      <c r="K171" s="95"/>
      <c r="L171" s="6">
        <f t="shared" si="10"/>
        <v>60000</v>
      </c>
      <c r="M171" s="31"/>
      <c r="N171" s="20"/>
      <c r="O171" s="21"/>
      <c r="P171" s="15"/>
      <c r="Q171" s="16"/>
      <c r="R171" s="17"/>
      <c r="S171" s="36"/>
      <c r="T171" s="26"/>
      <c r="U171" s="27"/>
      <c r="V171" s="25">
        <v>60000</v>
      </c>
      <c r="W171" s="26" t="s">
        <v>328</v>
      </c>
      <c r="X171" s="27" t="s">
        <v>318</v>
      </c>
      <c r="Y171" s="39"/>
    </row>
    <row r="172" spans="2:25" x14ac:dyDescent="0.4">
      <c r="B172" s="4"/>
      <c r="C172" s="41" t="s">
        <v>136</v>
      </c>
      <c r="D172" s="44" t="s">
        <v>31</v>
      </c>
      <c r="E172" s="43"/>
      <c r="F172" s="41" t="s">
        <v>468</v>
      </c>
      <c r="G172" s="44" t="s">
        <v>468</v>
      </c>
      <c r="H172" s="43"/>
      <c r="I172" s="47" t="s">
        <v>485</v>
      </c>
      <c r="J172" s="49" t="s">
        <v>471</v>
      </c>
      <c r="K172" s="48"/>
      <c r="L172" s="5">
        <f t="shared" si="10"/>
        <v>60000</v>
      </c>
      <c r="M172" s="30"/>
      <c r="N172" s="18"/>
      <c r="O172" s="19"/>
      <c r="P172" s="12"/>
      <c r="Q172" s="13"/>
      <c r="R172" s="14"/>
      <c r="S172" s="35"/>
      <c r="T172" s="23"/>
      <c r="U172" s="24"/>
      <c r="V172" s="22">
        <v>60000</v>
      </c>
      <c r="W172" s="23" t="s">
        <v>328</v>
      </c>
      <c r="X172" s="24" t="s">
        <v>318</v>
      </c>
      <c r="Y172" s="38"/>
    </row>
    <row r="173" spans="2:25" x14ac:dyDescent="0.4">
      <c r="B173" s="76"/>
      <c r="C173" s="69" t="s">
        <v>136</v>
      </c>
      <c r="D173" s="70" t="s">
        <v>472</v>
      </c>
      <c r="E173" s="71"/>
      <c r="F173" s="69" t="s">
        <v>468</v>
      </c>
      <c r="G173" s="70" t="s">
        <v>468</v>
      </c>
      <c r="H173" s="71"/>
      <c r="I173" s="72" t="s">
        <v>485</v>
      </c>
      <c r="J173" s="73" t="s">
        <v>473</v>
      </c>
      <c r="K173" s="74"/>
      <c r="L173" s="57">
        <f t="shared" si="10"/>
        <v>50000</v>
      </c>
      <c r="M173" s="58"/>
      <c r="N173" s="59"/>
      <c r="O173" s="60"/>
      <c r="P173" s="61"/>
      <c r="Q173" s="62"/>
      <c r="R173" s="63"/>
      <c r="S173" s="64"/>
      <c r="T173" s="65"/>
      <c r="U173" s="66"/>
      <c r="V173" s="67">
        <v>50000</v>
      </c>
      <c r="W173" s="65" t="s">
        <v>328</v>
      </c>
      <c r="X173" s="66" t="s">
        <v>318</v>
      </c>
      <c r="Y173" s="68"/>
    </row>
    <row r="174" spans="2:25" x14ac:dyDescent="0.4">
      <c r="B174" s="77"/>
      <c r="C174" s="90" t="s">
        <v>136</v>
      </c>
      <c r="D174" s="91" t="s">
        <v>472</v>
      </c>
      <c r="E174" s="92"/>
      <c r="F174" s="90" t="s">
        <v>468</v>
      </c>
      <c r="G174" s="91" t="s">
        <v>468</v>
      </c>
      <c r="H174" s="92"/>
      <c r="I174" s="93" t="s">
        <v>485</v>
      </c>
      <c r="J174" s="94" t="s">
        <v>474</v>
      </c>
      <c r="K174" s="95"/>
      <c r="L174" s="6">
        <f t="shared" si="10"/>
        <v>50000</v>
      </c>
      <c r="M174" s="31"/>
      <c r="N174" s="20"/>
      <c r="O174" s="21"/>
      <c r="P174" s="15"/>
      <c r="Q174" s="16"/>
      <c r="R174" s="17"/>
      <c r="S174" s="36"/>
      <c r="T174" s="26"/>
      <c r="U174" s="27"/>
      <c r="V174" s="25">
        <v>50000</v>
      </c>
      <c r="W174" s="26" t="s">
        <v>328</v>
      </c>
      <c r="X174" s="27" t="s">
        <v>318</v>
      </c>
      <c r="Y174" s="39"/>
    </row>
    <row r="175" spans="2:25" x14ac:dyDescent="0.4">
      <c r="B175" s="4"/>
      <c r="C175" s="41" t="s">
        <v>136</v>
      </c>
      <c r="D175" s="44" t="s">
        <v>472</v>
      </c>
      <c r="E175" s="43"/>
      <c r="F175" s="41" t="s">
        <v>468</v>
      </c>
      <c r="G175" s="44" t="s">
        <v>468</v>
      </c>
      <c r="H175" s="43"/>
      <c r="I175" s="47" t="s">
        <v>485</v>
      </c>
      <c r="J175" s="49" t="s">
        <v>475</v>
      </c>
      <c r="K175" s="48"/>
      <c r="L175" s="5">
        <f t="shared" si="10"/>
        <v>50000</v>
      </c>
      <c r="M175" s="30"/>
      <c r="N175" s="18"/>
      <c r="O175" s="19"/>
      <c r="P175" s="12"/>
      <c r="Q175" s="13"/>
      <c r="R175" s="14"/>
      <c r="S175" s="35"/>
      <c r="T175" s="23"/>
      <c r="U175" s="24"/>
      <c r="V175" s="22">
        <v>50000</v>
      </c>
      <c r="W175" s="23" t="s">
        <v>328</v>
      </c>
      <c r="X175" s="24" t="s">
        <v>318</v>
      </c>
      <c r="Y175" s="38"/>
    </row>
    <row r="176" spans="2:25" x14ac:dyDescent="0.4">
      <c r="B176" s="76"/>
      <c r="C176" s="69" t="s">
        <v>136</v>
      </c>
      <c r="D176" s="70" t="s">
        <v>472</v>
      </c>
      <c r="E176" s="71"/>
      <c r="F176" s="69" t="s">
        <v>468</v>
      </c>
      <c r="G176" s="70" t="s">
        <v>468</v>
      </c>
      <c r="H176" s="71"/>
      <c r="I176" s="72" t="s">
        <v>485</v>
      </c>
      <c r="J176" s="73" t="s">
        <v>476</v>
      </c>
      <c r="K176" s="74"/>
      <c r="L176" s="57">
        <f t="shared" si="10"/>
        <v>50000</v>
      </c>
      <c r="M176" s="58"/>
      <c r="N176" s="59"/>
      <c r="O176" s="60"/>
      <c r="P176" s="61"/>
      <c r="Q176" s="62"/>
      <c r="R176" s="63"/>
      <c r="S176" s="64"/>
      <c r="T176" s="65"/>
      <c r="U176" s="66"/>
      <c r="V176" s="67">
        <v>50000</v>
      </c>
      <c r="W176" s="65" t="s">
        <v>328</v>
      </c>
      <c r="X176" s="66" t="s">
        <v>318</v>
      </c>
      <c r="Y176" s="68"/>
    </row>
    <row r="177" spans="2:25" x14ac:dyDescent="0.4">
      <c r="B177" s="77"/>
      <c r="C177" s="90"/>
      <c r="D177" s="91"/>
      <c r="E177" s="92"/>
      <c r="F177" s="90"/>
      <c r="G177" s="91"/>
      <c r="H177" s="92"/>
      <c r="I177" s="93"/>
      <c r="J177" s="94"/>
      <c r="K177" s="95"/>
      <c r="L177" s="6">
        <f t="shared" si="10"/>
        <v>0</v>
      </c>
      <c r="M177" s="31"/>
      <c r="N177" s="20"/>
      <c r="O177" s="21"/>
      <c r="P177" s="15"/>
      <c r="Q177" s="16"/>
      <c r="R177" s="17"/>
      <c r="S177" s="36"/>
      <c r="T177" s="26"/>
      <c r="U177" s="27"/>
      <c r="V177" s="25"/>
      <c r="W177" s="26"/>
      <c r="X177" s="27"/>
      <c r="Y177" s="39"/>
    </row>
    <row r="178" spans="2:25" x14ac:dyDescent="0.4">
      <c r="B178" s="4"/>
      <c r="C178" s="41"/>
      <c r="D178" s="44"/>
      <c r="E178" s="43"/>
      <c r="F178" s="41"/>
      <c r="G178" s="44"/>
      <c r="H178" s="43"/>
      <c r="I178" s="47"/>
      <c r="J178" s="49"/>
      <c r="K178" s="48"/>
      <c r="L178" s="5">
        <f t="shared" si="10"/>
        <v>0</v>
      </c>
      <c r="M178" s="30"/>
      <c r="N178" s="18"/>
      <c r="O178" s="19"/>
      <c r="P178" s="12"/>
      <c r="Q178" s="13"/>
      <c r="R178" s="14"/>
      <c r="S178" s="35"/>
      <c r="T178" s="23"/>
      <c r="U178" s="24"/>
      <c r="V178" s="22"/>
      <c r="W178" s="23"/>
      <c r="X178" s="24"/>
      <c r="Y178" s="38"/>
    </row>
    <row r="179" spans="2:25" x14ac:dyDescent="0.4">
      <c r="B179" s="76"/>
      <c r="C179" s="69"/>
      <c r="D179" s="70"/>
      <c r="E179" s="71"/>
      <c r="F179" s="69"/>
      <c r="G179" s="70"/>
      <c r="H179" s="71"/>
      <c r="I179" s="72"/>
      <c r="J179" s="73"/>
      <c r="K179" s="74"/>
      <c r="L179" s="57">
        <f t="shared" si="10"/>
        <v>0</v>
      </c>
      <c r="M179" s="58"/>
      <c r="N179" s="59"/>
      <c r="O179" s="60"/>
      <c r="P179" s="61"/>
      <c r="Q179" s="62"/>
      <c r="R179" s="63"/>
      <c r="S179" s="64"/>
      <c r="T179" s="65"/>
      <c r="U179" s="66"/>
      <c r="V179" s="67"/>
      <c r="W179" s="65"/>
      <c r="X179" s="66"/>
      <c r="Y179" s="68"/>
    </row>
    <row r="180" spans="2:25" x14ac:dyDescent="0.4">
      <c r="B180" s="77"/>
      <c r="C180" s="90"/>
      <c r="D180" s="91"/>
      <c r="E180" s="92"/>
      <c r="F180" s="90"/>
      <c r="G180" s="91"/>
      <c r="H180" s="92"/>
      <c r="I180" s="93"/>
      <c r="J180" s="94"/>
      <c r="K180" s="95"/>
      <c r="L180" s="6">
        <f t="shared" si="10"/>
        <v>0</v>
      </c>
      <c r="M180" s="31"/>
      <c r="N180" s="20"/>
      <c r="O180" s="21"/>
      <c r="P180" s="15"/>
      <c r="Q180" s="16"/>
      <c r="R180" s="17"/>
      <c r="S180" s="36"/>
      <c r="T180" s="26"/>
      <c r="U180" s="27"/>
      <c r="V180" s="25"/>
      <c r="W180" s="26"/>
      <c r="X180" s="27"/>
      <c r="Y180" s="39"/>
    </row>
    <row r="181" spans="2:25" x14ac:dyDescent="0.4">
      <c r="B181" s="4"/>
      <c r="C181" s="41"/>
      <c r="D181" s="44"/>
      <c r="E181" s="43"/>
      <c r="F181" s="41"/>
      <c r="G181" s="44"/>
      <c r="H181" s="43"/>
      <c r="I181" s="47"/>
      <c r="J181" s="49"/>
      <c r="K181" s="48"/>
      <c r="L181" s="5"/>
      <c r="M181" s="30"/>
      <c r="N181" s="18"/>
      <c r="O181" s="19"/>
      <c r="P181" s="12"/>
      <c r="Q181" s="13"/>
      <c r="R181" s="14"/>
      <c r="S181" s="35"/>
      <c r="T181" s="23"/>
      <c r="U181" s="24"/>
      <c r="V181" s="22"/>
      <c r="W181" s="23"/>
      <c r="X181" s="24"/>
      <c r="Y181" s="38"/>
    </row>
    <row r="182" spans="2:25" x14ac:dyDescent="0.4">
      <c r="B182" s="76"/>
      <c r="C182" s="69"/>
      <c r="D182" s="70"/>
      <c r="E182" s="71"/>
      <c r="F182" s="69"/>
      <c r="G182" s="70"/>
      <c r="H182" s="71"/>
      <c r="I182" s="72"/>
      <c r="J182" s="73"/>
      <c r="K182" s="74"/>
      <c r="L182" s="57"/>
      <c r="M182" s="58"/>
      <c r="N182" s="59"/>
      <c r="O182" s="60"/>
      <c r="P182" s="61"/>
      <c r="Q182" s="62"/>
      <c r="R182" s="63"/>
      <c r="S182" s="64"/>
      <c r="T182" s="65"/>
      <c r="U182" s="66"/>
      <c r="V182" s="67"/>
      <c r="W182" s="65"/>
      <c r="X182" s="66"/>
      <c r="Y182" s="68"/>
    </row>
    <row r="183" spans="2:25" x14ac:dyDescent="0.4">
      <c r="B183" s="77"/>
      <c r="C183" s="90"/>
      <c r="D183" s="91"/>
      <c r="E183" s="92"/>
      <c r="F183" s="90"/>
      <c r="G183" s="91"/>
      <c r="H183" s="92"/>
      <c r="I183" s="93"/>
      <c r="J183" s="94"/>
      <c r="K183" s="95"/>
      <c r="L183" s="6"/>
      <c r="M183" s="31"/>
      <c r="N183" s="20"/>
      <c r="O183" s="21"/>
      <c r="P183" s="15"/>
      <c r="Q183" s="16"/>
      <c r="R183" s="17"/>
      <c r="S183" s="36"/>
      <c r="T183" s="26"/>
      <c r="U183" s="27"/>
      <c r="V183" s="25"/>
      <c r="W183" s="26"/>
      <c r="X183" s="27"/>
      <c r="Y183" s="39"/>
    </row>
    <row r="184" spans="2:25" x14ac:dyDescent="0.4">
      <c r="B184" s="4"/>
      <c r="C184" s="41"/>
      <c r="D184" s="44"/>
      <c r="E184" s="43"/>
      <c r="F184" s="41"/>
      <c r="G184" s="44"/>
      <c r="H184" s="43"/>
      <c r="I184" s="47"/>
      <c r="J184" s="49"/>
      <c r="K184" s="48"/>
      <c r="L184" s="5"/>
      <c r="M184" s="30"/>
      <c r="N184" s="18"/>
      <c r="O184" s="19"/>
      <c r="P184" s="12"/>
      <c r="Q184" s="13"/>
      <c r="R184" s="14"/>
      <c r="S184" s="35"/>
      <c r="T184" s="23"/>
      <c r="U184" s="24"/>
      <c r="V184" s="22"/>
      <c r="W184" s="23"/>
      <c r="X184" s="24"/>
      <c r="Y184" s="38"/>
    </row>
    <row r="185" spans="2:25" x14ac:dyDescent="0.4">
      <c r="B185" s="76"/>
      <c r="C185" s="69"/>
      <c r="D185" s="70"/>
      <c r="E185" s="71"/>
      <c r="F185" s="69"/>
      <c r="G185" s="70"/>
      <c r="H185" s="71"/>
      <c r="I185" s="72"/>
      <c r="J185" s="73"/>
      <c r="K185" s="74"/>
      <c r="L185" s="57"/>
      <c r="M185" s="58"/>
      <c r="N185" s="59"/>
      <c r="O185" s="60"/>
      <c r="P185" s="61"/>
      <c r="Q185" s="62"/>
      <c r="R185" s="63"/>
      <c r="S185" s="64"/>
      <c r="T185" s="65"/>
      <c r="U185" s="66"/>
      <c r="V185" s="67"/>
      <c r="W185" s="65"/>
      <c r="X185" s="66"/>
      <c r="Y185" s="68"/>
    </row>
    <row r="186" spans="2:25" x14ac:dyDescent="0.4">
      <c r="B186" s="77"/>
      <c r="C186" s="90"/>
      <c r="D186" s="91"/>
      <c r="E186" s="92"/>
      <c r="F186" s="90"/>
      <c r="G186" s="91"/>
      <c r="H186" s="92"/>
      <c r="I186" s="93"/>
      <c r="J186" s="94"/>
      <c r="K186" s="95"/>
      <c r="L186" s="6"/>
      <c r="M186" s="31"/>
      <c r="N186" s="20"/>
      <c r="O186" s="21"/>
      <c r="P186" s="15"/>
      <c r="Q186" s="16"/>
      <c r="R186" s="17"/>
      <c r="S186" s="36"/>
      <c r="T186" s="26"/>
      <c r="U186" s="27"/>
      <c r="V186" s="25"/>
      <c r="W186" s="26"/>
      <c r="X186" s="27"/>
      <c r="Y186" s="39"/>
    </row>
    <row r="187" spans="2:25" x14ac:dyDescent="0.4">
      <c r="B187" s="4"/>
      <c r="C187" s="41"/>
      <c r="D187" s="44"/>
      <c r="E187" s="43"/>
      <c r="F187" s="41"/>
      <c r="G187" s="44"/>
      <c r="H187" s="43"/>
      <c r="I187" s="47"/>
      <c r="J187" s="49"/>
      <c r="K187" s="48"/>
      <c r="L187" s="5"/>
      <c r="M187" s="30"/>
      <c r="N187" s="18"/>
      <c r="O187" s="19"/>
      <c r="P187" s="12"/>
      <c r="Q187" s="13"/>
      <c r="R187" s="14"/>
      <c r="S187" s="35"/>
      <c r="T187" s="23"/>
      <c r="U187" s="24"/>
      <c r="V187" s="22"/>
      <c r="W187" s="23"/>
      <c r="X187" s="24"/>
      <c r="Y187" s="38"/>
    </row>
    <row r="188" spans="2:25" x14ac:dyDescent="0.4">
      <c r="B188" s="76"/>
      <c r="C188" s="69"/>
      <c r="D188" s="70"/>
      <c r="E188" s="71"/>
      <c r="F188" s="69"/>
      <c r="G188" s="70"/>
      <c r="H188" s="71"/>
      <c r="I188" s="72"/>
      <c r="J188" s="73"/>
      <c r="K188" s="74"/>
      <c r="L188" s="57"/>
      <c r="M188" s="58"/>
      <c r="N188" s="59"/>
      <c r="O188" s="60"/>
      <c r="P188" s="61"/>
      <c r="Q188" s="62"/>
      <c r="R188" s="63"/>
      <c r="S188" s="64"/>
      <c r="T188" s="65"/>
      <c r="U188" s="66"/>
      <c r="V188" s="67"/>
      <c r="W188" s="65"/>
      <c r="X188" s="66"/>
      <c r="Y188" s="68"/>
    </row>
    <row r="189" spans="2:25" x14ac:dyDescent="0.4">
      <c r="B189" s="77"/>
      <c r="C189" s="90"/>
      <c r="D189" s="91"/>
      <c r="E189" s="92"/>
      <c r="F189" s="90"/>
      <c r="G189" s="91"/>
      <c r="H189" s="92"/>
      <c r="I189" s="93"/>
      <c r="J189" s="94"/>
      <c r="K189" s="95"/>
      <c r="L189" s="6"/>
      <c r="M189" s="31"/>
      <c r="N189" s="20"/>
      <c r="O189" s="21"/>
      <c r="P189" s="15"/>
      <c r="Q189" s="16"/>
      <c r="R189" s="17"/>
      <c r="S189" s="36"/>
      <c r="T189" s="26"/>
      <c r="U189" s="27"/>
      <c r="V189" s="25"/>
      <c r="W189" s="26"/>
      <c r="X189" s="27"/>
      <c r="Y189" s="39"/>
    </row>
    <row r="190" spans="2:25" x14ac:dyDescent="0.4">
      <c r="B190" s="4"/>
      <c r="C190" s="41"/>
      <c r="D190" s="44"/>
      <c r="E190" s="43"/>
      <c r="F190" s="41"/>
      <c r="G190" s="44"/>
      <c r="H190" s="43"/>
      <c r="I190" s="47"/>
      <c r="J190" s="49"/>
      <c r="K190" s="48"/>
      <c r="L190" s="5"/>
      <c r="M190" s="30"/>
      <c r="N190" s="18"/>
      <c r="O190" s="19"/>
      <c r="P190" s="12"/>
      <c r="Q190" s="13"/>
      <c r="R190" s="14"/>
      <c r="S190" s="35"/>
      <c r="T190" s="23"/>
      <c r="U190" s="24"/>
      <c r="V190" s="22"/>
      <c r="W190" s="23"/>
      <c r="X190" s="24"/>
      <c r="Y190" s="38"/>
    </row>
    <row r="191" spans="2:25" x14ac:dyDescent="0.4">
      <c r="B191" s="76"/>
      <c r="C191" s="69"/>
      <c r="D191" s="70"/>
      <c r="E191" s="71"/>
      <c r="F191" s="69"/>
      <c r="G191" s="70"/>
      <c r="H191" s="71"/>
      <c r="I191" s="72"/>
      <c r="J191" s="73"/>
      <c r="K191" s="74"/>
      <c r="L191" s="57"/>
      <c r="M191" s="58"/>
      <c r="N191" s="59"/>
      <c r="O191" s="60"/>
      <c r="P191" s="61"/>
      <c r="Q191" s="62"/>
      <c r="R191" s="63"/>
      <c r="S191" s="64"/>
      <c r="T191" s="65"/>
      <c r="U191" s="66"/>
      <c r="V191" s="67"/>
      <c r="W191" s="65"/>
      <c r="X191" s="66"/>
      <c r="Y191" s="68"/>
    </row>
    <row r="192" spans="2:25" x14ac:dyDescent="0.4">
      <c r="B192" s="77"/>
      <c r="C192" s="90"/>
      <c r="D192" s="91"/>
      <c r="E192" s="92"/>
      <c r="F192" s="90"/>
      <c r="G192" s="91"/>
      <c r="H192" s="92"/>
      <c r="I192" s="93"/>
      <c r="J192" s="94"/>
      <c r="K192" s="95"/>
      <c r="L192" s="6"/>
      <c r="M192" s="31"/>
      <c r="N192" s="20"/>
      <c r="O192" s="21"/>
      <c r="P192" s="15"/>
      <c r="Q192" s="16"/>
      <c r="R192" s="17"/>
      <c r="S192" s="36"/>
      <c r="T192" s="26"/>
      <c r="U192" s="27"/>
      <c r="V192" s="25"/>
      <c r="W192" s="26"/>
      <c r="X192" s="27"/>
      <c r="Y192" s="39"/>
    </row>
    <row r="193" spans="2:25" x14ac:dyDescent="0.4">
      <c r="B193" s="4"/>
      <c r="C193" s="41"/>
      <c r="D193" s="44"/>
      <c r="E193" s="43"/>
      <c r="F193" s="41"/>
      <c r="G193" s="44"/>
      <c r="H193" s="43"/>
      <c r="I193" s="47"/>
      <c r="J193" s="49"/>
      <c r="K193" s="48"/>
      <c r="L193" s="5"/>
      <c r="M193" s="30"/>
      <c r="N193" s="18"/>
      <c r="O193" s="19"/>
      <c r="P193" s="12"/>
      <c r="Q193" s="13"/>
      <c r="R193" s="14"/>
      <c r="S193" s="35"/>
      <c r="T193" s="23"/>
      <c r="U193" s="24"/>
      <c r="V193" s="22"/>
      <c r="W193" s="23"/>
      <c r="X193" s="24"/>
      <c r="Y193" s="38"/>
    </row>
    <row r="194" spans="2:25" x14ac:dyDescent="0.4">
      <c r="B194" s="76"/>
      <c r="C194" s="69"/>
      <c r="D194" s="70"/>
      <c r="E194" s="71"/>
      <c r="F194" s="69"/>
      <c r="G194" s="70"/>
      <c r="H194" s="71"/>
      <c r="I194" s="72"/>
      <c r="J194" s="73"/>
      <c r="K194" s="74"/>
      <c r="L194" s="57"/>
      <c r="M194" s="58"/>
      <c r="N194" s="59"/>
      <c r="O194" s="60"/>
      <c r="P194" s="61"/>
      <c r="Q194" s="62"/>
      <c r="R194" s="63"/>
      <c r="S194" s="64"/>
      <c r="T194" s="65"/>
      <c r="U194" s="66"/>
      <c r="V194" s="67"/>
      <c r="W194" s="65"/>
      <c r="X194" s="66"/>
      <c r="Y194" s="68"/>
    </row>
    <row r="195" spans="2:25" x14ac:dyDescent="0.4">
      <c r="B195" s="77"/>
      <c r="C195" s="90"/>
      <c r="D195" s="91"/>
      <c r="E195" s="92"/>
      <c r="F195" s="90"/>
      <c r="G195" s="91"/>
      <c r="H195" s="92"/>
      <c r="I195" s="93"/>
      <c r="J195" s="94"/>
      <c r="K195" s="95"/>
      <c r="L195" s="6"/>
      <c r="M195" s="31"/>
      <c r="N195" s="20"/>
      <c r="O195" s="21"/>
      <c r="P195" s="15"/>
      <c r="Q195" s="16"/>
      <c r="R195" s="17"/>
      <c r="S195" s="36"/>
      <c r="T195" s="26"/>
      <c r="U195" s="27"/>
      <c r="V195" s="25"/>
      <c r="W195" s="26"/>
      <c r="X195" s="27"/>
      <c r="Y195" s="39"/>
    </row>
    <row r="196" spans="2:25" x14ac:dyDescent="0.4">
      <c r="B196" s="4"/>
      <c r="C196" s="41"/>
      <c r="D196" s="44"/>
      <c r="E196" s="43"/>
      <c r="F196" s="41"/>
      <c r="G196" s="44"/>
      <c r="H196" s="43"/>
      <c r="I196" s="47"/>
      <c r="J196" s="49"/>
      <c r="K196" s="48"/>
      <c r="L196" s="5"/>
      <c r="M196" s="30"/>
      <c r="N196" s="18"/>
      <c r="O196" s="19"/>
      <c r="P196" s="12"/>
      <c r="Q196" s="13"/>
      <c r="R196" s="14"/>
      <c r="S196" s="35"/>
      <c r="T196" s="23"/>
      <c r="U196" s="24"/>
      <c r="V196" s="22"/>
      <c r="W196" s="23"/>
      <c r="X196" s="24"/>
      <c r="Y196" s="38"/>
    </row>
    <row r="197" spans="2:25" x14ac:dyDescent="0.4">
      <c r="B197" s="76"/>
      <c r="C197" s="69"/>
      <c r="D197" s="70"/>
      <c r="E197" s="71"/>
      <c r="F197" s="69"/>
      <c r="G197" s="70"/>
      <c r="H197" s="71"/>
      <c r="I197" s="72"/>
      <c r="J197" s="73"/>
      <c r="K197" s="74"/>
      <c r="L197" s="57"/>
      <c r="M197" s="58"/>
      <c r="N197" s="59"/>
      <c r="O197" s="60"/>
      <c r="P197" s="61"/>
      <c r="Q197" s="62"/>
      <c r="R197" s="63"/>
      <c r="S197" s="64"/>
      <c r="T197" s="65"/>
      <c r="U197" s="66"/>
      <c r="V197" s="67"/>
      <c r="W197" s="65"/>
      <c r="X197" s="66"/>
      <c r="Y197" s="68"/>
    </row>
    <row r="198" spans="2:25" x14ac:dyDescent="0.4">
      <c r="B198" s="77"/>
      <c r="C198" s="90"/>
      <c r="D198" s="91"/>
      <c r="E198" s="92"/>
      <c r="F198" s="90"/>
      <c r="G198" s="91"/>
      <c r="H198" s="92"/>
      <c r="I198" s="93"/>
      <c r="J198" s="94"/>
      <c r="K198" s="95"/>
      <c r="L198" s="6"/>
      <c r="M198" s="31"/>
      <c r="N198" s="20"/>
      <c r="O198" s="21"/>
      <c r="P198" s="15"/>
      <c r="Q198" s="16"/>
      <c r="R198" s="17"/>
      <c r="S198" s="36"/>
      <c r="T198" s="26"/>
      <c r="U198" s="27"/>
      <c r="V198" s="25"/>
      <c r="W198" s="26"/>
      <c r="X198" s="27"/>
      <c r="Y198" s="39"/>
    </row>
    <row r="199" spans="2:25" x14ac:dyDescent="0.4">
      <c r="B199" s="4"/>
      <c r="C199" s="41"/>
      <c r="D199" s="44"/>
      <c r="E199" s="43"/>
      <c r="F199" s="41"/>
      <c r="G199" s="44"/>
      <c r="H199" s="43"/>
      <c r="I199" s="47"/>
      <c r="J199" s="49"/>
      <c r="K199" s="48"/>
      <c r="L199" s="5"/>
      <c r="M199" s="30"/>
      <c r="N199" s="18"/>
      <c r="O199" s="19"/>
      <c r="P199" s="12"/>
      <c r="Q199" s="13"/>
      <c r="R199" s="14"/>
      <c r="S199" s="35"/>
      <c r="T199" s="23"/>
      <c r="U199" s="24"/>
      <c r="V199" s="22"/>
      <c r="W199" s="23"/>
      <c r="X199" s="24"/>
      <c r="Y199" s="38"/>
    </row>
    <row r="200" spans="2:25" x14ac:dyDescent="0.4">
      <c r="B200" s="76"/>
      <c r="C200" s="69"/>
      <c r="D200" s="70"/>
      <c r="E200" s="71"/>
      <c r="F200" s="69"/>
      <c r="G200" s="70"/>
      <c r="H200" s="71"/>
      <c r="I200" s="72"/>
      <c r="J200" s="73"/>
      <c r="K200" s="74"/>
      <c r="L200" s="57"/>
      <c r="M200" s="58"/>
      <c r="N200" s="59"/>
      <c r="O200" s="60"/>
      <c r="P200" s="61"/>
      <c r="Q200" s="62"/>
      <c r="R200" s="63"/>
      <c r="S200" s="64"/>
      <c r="T200" s="65"/>
      <c r="U200" s="66"/>
      <c r="V200" s="67"/>
      <c r="W200" s="65"/>
      <c r="X200" s="66"/>
      <c r="Y200" s="68"/>
    </row>
    <row r="201" spans="2:25" x14ac:dyDescent="0.4">
      <c r="B201" s="77"/>
      <c r="C201" s="90"/>
      <c r="D201" s="91"/>
      <c r="E201" s="92"/>
      <c r="F201" s="90"/>
      <c r="G201" s="91"/>
      <c r="H201" s="92"/>
      <c r="I201" s="93"/>
      <c r="J201" s="94"/>
      <c r="K201" s="95"/>
      <c r="L201" s="6"/>
      <c r="M201" s="31"/>
      <c r="N201" s="20"/>
      <c r="O201" s="21"/>
      <c r="P201" s="15"/>
      <c r="Q201" s="16"/>
      <c r="R201" s="17"/>
      <c r="S201" s="36"/>
      <c r="T201" s="26"/>
      <c r="U201" s="27"/>
      <c r="V201" s="25"/>
      <c r="W201" s="26"/>
      <c r="X201" s="27"/>
      <c r="Y201" s="39"/>
    </row>
    <row r="202" spans="2:25" x14ac:dyDescent="0.4">
      <c r="B202" s="4"/>
      <c r="C202" s="41"/>
      <c r="D202" s="44"/>
      <c r="E202" s="43"/>
      <c r="F202" s="41"/>
      <c r="G202" s="44"/>
      <c r="H202" s="43"/>
      <c r="I202" s="47"/>
      <c r="J202" s="49"/>
      <c r="K202" s="48"/>
      <c r="L202" s="5"/>
      <c r="M202" s="30"/>
      <c r="N202" s="18"/>
      <c r="O202" s="19"/>
      <c r="P202" s="12"/>
      <c r="Q202" s="13"/>
      <c r="R202" s="14"/>
      <c r="S202" s="35"/>
      <c r="T202" s="23"/>
      <c r="U202" s="24"/>
      <c r="V202" s="22"/>
      <c r="W202" s="23"/>
      <c r="X202" s="24"/>
      <c r="Y202" s="38"/>
    </row>
    <row r="203" spans="2:25" x14ac:dyDescent="0.4">
      <c r="B203" s="76"/>
      <c r="C203" s="69"/>
      <c r="D203" s="70"/>
      <c r="E203" s="71"/>
      <c r="F203" s="69"/>
      <c r="G203" s="70"/>
      <c r="H203" s="71"/>
      <c r="I203" s="72"/>
      <c r="J203" s="73"/>
      <c r="K203" s="74"/>
      <c r="L203" s="57"/>
      <c r="M203" s="58"/>
      <c r="N203" s="59"/>
      <c r="O203" s="60"/>
      <c r="P203" s="61"/>
      <c r="Q203" s="62"/>
      <c r="R203" s="63"/>
      <c r="S203" s="64"/>
      <c r="T203" s="65"/>
      <c r="U203" s="66"/>
      <c r="V203" s="67"/>
      <c r="W203" s="65"/>
      <c r="X203" s="66"/>
      <c r="Y203" s="68"/>
    </row>
    <row r="204" spans="2:25" x14ac:dyDescent="0.4">
      <c r="B204" s="77"/>
      <c r="C204" s="90"/>
      <c r="D204" s="91"/>
      <c r="E204" s="92"/>
      <c r="F204" s="90"/>
      <c r="G204" s="91"/>
      <c r="H204" s="92"/>
      <c r="I204" s="93"/>
      <c r="J204" s="94"/>
      <c r="K204" s="95"/>
      <c r="L204" s="6"/>
      <c r="M204" s="31"/>
      <c r="N204" s="20"/>
      <c r="O204" s="21"/>
      <c r="P204" s="15"/>
      <c r="Q204" s="16"/>
      <c r="R204" s="17"/>
      <c r="S204" s="36"/>
      <c r="T204" s="26"/>
      <c r="U204" s="27"/>
      <c r="V204" s="25"/>
      <c r="W204" s="26"/>
      <c r="X204" s="27"/>
      <c r="Y204" s="39"/>
    </row>
    <row r="205" spans="2:25" x14ac:dyDescent="0.4">
      <c r="B205" s="4"/>
      <c r="C205" s="41"/>
      <c r="D205" s="44"/>
      <c r="E205" s="43"/>
      <c r="F205" s="41"/>
      <c r="G205" s="44"/>
      <c r="H205" s="43"/>
      <c r="I205" s="47"/>
      <c r="J205" s="49"/>
      <c r="K205" s="48"/>
      <c r="L205" s="5"/>
      <c r="M205" s="30"/>
      <c r="N205" s="18"/>
      <c r="O205" s="19"/>
      <c r="P205" s="12"/>
      <c r="Q205" s="13"/>
      <c r="R205" s="14"/>
      <c r="S205" s="35"/>
      <c r="T205" s="23"/>
      <c r="U205" s="24"/>
      <c r="V205" s="22"/>
      <c r="W205" s="23"/>
      <c r="X205" s="24"/>
      <c r="Y205" s="38"/>
    </row>
    <row r="206" spans="2:25" x14ac:dyDescent="0.4">
      <c r="B206" s="76"/>
      <c r="C206" s="69"/>
      <c r="D206" s="70"/>
      <c r="E206" s="71"/>
      <c r="F206" s="69"/>
      <c r="G206" s="70"/>
      <c r="H206" s="71"/>
      <c r="I206" s="72"/>
      <c r="J206" s="73"/>
      <c r="K206" s="74"/>
      <c r="L206" s="57"/>
      <c r="M206" s="58"/>
      <c r="N206" s="59"/>
      <c r="O206" s="60"/>
      <c r="P206" s="61"/>
      <c r="Q206" s="62"/>
      <c r="R206" s="63"/>
      <c r="S206" s="64"/>
      <c r="T206" s="65"/>
      <c r="U206" s="66"/>
      <c r="V206" s="67"/>
      <c r="W206" s="65"/>
      <c r="X206" s="66"/>
      <c r="Y206" s="68"/>
    </row>
  </sheetData>
  <autoFilter ref="B5:Y160" xr:uid="{00000000-0009-0000-0000-000001000000}"/>
  <sortState xmlns:xlrd2="http://schemas.microsoft.com/office/spreadsheetml/2017/richdata2" ref="C6:X37">
    <sortCondition ref="W6:W37"/>
  </sortState>
  <mergeCells count="11">
    <mergeCell ref="B2:Y2"/>
    <mergeCell ref="B4:B5"/>
    <mergeCell ref="L4:L5"/>
    <mergeCell ref="M4:O4"/>
    <mergeCell ref="P4:R4"/>
    <mergeCell ref="S4:U4"/>
    <mergeCell ref="V4:X4"/>
    <mergeCell ref="Y4:Y5"/>
    <mergeCell ref="C4:E4"/>
    <mergeCell ref="F4:H4"/>
    <mergeCell ref="I4:K4"/>
  </mergeCells>
  <phoneticPr fontId="2" type="noConversion"/>
  <printOptions horizontalCentered="1"/>
  <pageMargins left="0" right="0" top="0.39370078740157483" bottom="0" header="0" footer="0"/>
  <pageSetup paperSize="9" scale="2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78"/>
  <sheetViews>
    <sheetView showGridLines="0" zoomScale="85" zoomScaleNormal="85" workbookViewId="0">
      <selection activeCell="E3" sqref="E3"/>
    </sheetView>
  </sheetViews>
  <sheetFormatPr defaultColWidth="9" defaultRowHeight="14.4" x14ac:dyDescent="0.4"/>
  <cols>
    <col min="1" max="1" width="9" style="112"/>
    <col min="2" max="2" width="22.19921875" style="112" customWidth="1"/>
    <col min="3" max="3" width="9.09765625" style="112" bestFit="1" customWidth="1"/>
    <col min="4" max="4" width="9" style="112"/>
    <col min="5" max="5" width="26.69921875" style="112" customWidth="1"/>
    <col min="6" max="6" width="9.09765625" style="121" bestFit="1" customWidth="1"/>
    <col min="7" max="7" width="19.69921875" style="112" bestFit="1" customWidth="1"/>
    <col min="8" max="8" width="9.09765625" style="121" bestFit="1" customWidth="1"/>
    <col min="9" max="9" width="20" style="112" bestFit="1" customWidth="1"/>
    <col min="10" max="10" width="9.09765625" style="121" bestFit="1" customWidth="1"/>
    <col min="11" max="11" width="21.59765625" style="112" bestFit="1" customWidth="1"/>
    <col min="12" max="12" width="9.09765625" style="121" bestFit="1" customWidth="1"/>
    <col min="13" max="13" width="19.5" style="112" bestFit="1" customWidth="1"/>
    <col min="14" max="14" width="9.09765625" style="121" bestFit="1" customWidth="1"/>
    <col min="15" max="15" width="20.3984375" style="112" bestFit="1" customWidth="1"/>
    <col min="16" max="16" width="9.09765625" style="121" bestFit="1" customWidth="1"/>
    <col min="17" max="17" width="28.59765625" style="112" bestFit="1" customWidth="1"/>
    <col min="18" max="18" width="9.09765625" style="121" bestFit="1" customWidth="1"/>
    <col min="19" max="19" width="27.5" style="112" bestFit="1" customWidth="1"/>
    <col min="20" max="20" width="9.09765625" style="121" bestFit="1" customWidth="1"/>
    <col min="21" max="21" width="25.3984375" style="112" bestFit="1" customWidth="1"/>
    <col min="22" max="22" width="9.09765625" style="121" bestFit="1" customWidth="1"/>
    <col min="23" max="23" width="20" style="112" bestFit="1" customWidth="1"/>
    <col min="24" max="24" width="9.09765625" style="121" bestFit="1" customWidth="1"/>
    <col min="25" max="25" width="16.69921875" style="112" bestFit="1" customWidth="1"/>
    <col min="26" max="26" width="9" style="121"/>
    <col min="27" max="27" width="20" style="112" bestFit="1" customWidth="1"/>
    <col min="28" max="28" width="9" style="121"/>
    <col min="29" max="29" width="19.19921875" style="112" bestFit="1" customWidth="1"/>
    <col min="30" max="30" width="9" style="121"/>
    <col min="31" max="16384" width="9" style="112"/>
  </cols>
  <sheetData>
    <row r="1" spans="1:30" x14ac:dyDescent="0.4">
      <c r="A1" s="112" t="s">
        <v>38</v>
      </c>
      <c r="B1" s="112" t="s">
        <v>154</v>
      </c>
      <c r="C1" s="112">
        <v>25000</v>
      </c>
    </row>
    <row r="2" spans="1:30" x14ac:dyDescent="0.4">
      <c r="A2" s="112" t="s">
        <v>38</v>
      </c>
      <c r="B2" s="112" t="s">
        <v>155</v>
      </c>
      <c r="C2" s="112">
        <v>25000</v>
      </c>
    </row>
    <row r="3" spans="1:30" x14ac:dyDescent="0.4">
      <c r="A3" s="112" t="s">
        <v>53</v>
      </c>
      <c r="B3" s="112" t="s">
        <v>54</v>
      </c>
      <c r="C3" s="112">
        <v>25000</v>
      </c>
    </row>
    <row r="4" spans="1:30" x14ac:dyDescent="0.4">
      <c r="A4" s="112" t="s">
        <v>156</v>
      </c>
      <c r="B4" s="112" t="s">
        <v>157</v>
      </c>
      <c r="C4" s="112">
        <v>25000</v>
      </c>
    </row>
    <row r="5" spans="1:30" x14ac:dyDescent="0.4">
      <c r="A5" s="112" t="s">
        <v>156</v>
      </c>
      <c r="B5" s="112" t="s">
        <v>158</v>
      </c>
      <c r="C5" s="112">
        <v>25000</v>
      </c>
    </row>
    <row r="6" spans="1:30" x14ac:dyDescent="0.4">
      <c r="A6" s="112" t="s">
        <v>156</v>
      </c>
      <c r="B6" s="112" t="s">
        <v>159</v>
      </c>
      <c r="C6" s="112">
        <v>25000</v>
      </c>
      <c r="E6" s="155" t="s">
        <v>209</v>
      </c>
      <c r="F6" s="154"/>
      <c r="G6" s="153" t="s">
        <v>211</v>
      </c>
      <c r="H6" s="154"/>
      <c r="I6" s="153" t="s">
        <v>25</v>
      </c>
      <c r="J6" s="154"/>
      <c r="K6" s="153" t="s">
        <v>20</v>
      </c>
      <c r="L6" s="154"/>
      <c r="M6" s="153" t="s">
        <v>212</v>
      </c>
      <c r="N6" s="154"/>
      <c r="O6" s="153" t="s">
        <v>213</v>
      </c>
      <c r="P6" s="154"/>
      <c r="Q6" s="153" t="s">
        <v>214</v>
      </c>
      <c r="R6" s="154"/>
      <c r="S6" s="153" t="s">
        <v>215</v>
      </c>
      <c r="T6" s="154"/>
      <c r="U6" s="153" t="s">
        <v>216</v>
      </c>
      <c r="V6" s="154"/>
      <c r="W6" s="153" t="s">
        <v>217</v>
      </c>
      <c r="X6" s="154"/>
      <c r="Y6" s="153" t="s">
        <v>136</v>
      </c>
      <c r="Z6" s="154"/>
      <c r="AA6" s="153" t="s">
        <v>31</v>
      </c>
      <c r="AB6" s="154"/>
      <c r="AC6" s="153" t="s">
        <v>56</v>
      </c>
      <c r="AD6" s="155"/>
    </row>
    <row r="7" spans="1:30" x14ac:dyDescent="0.4">
      <c r="A7" s="112" t="s">
        <v>156</v>
      </c>
      <c r="B7" s="112" t="s">
        <v>160</v>
      </c>
      <c r="C7" s="112">
        <v>25000</v>
      </c>
      <c r="E7" s="115" t="s">
        <v>210</v>
      </c>
      <c r="F7" s="128" t="s">
        <v>2</v>
      </c>
      <c r="G7" s="116" t="s">
        <v>210</v>
      </c>
      <c r="H7" s="128" t="s">
        <v>2</v>
      </c>
      <c r="I7" s="116" t="s">
        <v>210</v>
      </c>
      <c r="J7" s="128" t="s">
        <v>2</v>
      </c>
      <c r="K7" s="116" t="s">
        <v>210</v>
      </c>
      <c r="L7" s="128" t="s">
        <v>2</v>
      </c>
      <c r="M7" s="116" t="s">
        <v>210</v>
      </c>
      <c r="N7" s="128" t="s">
        <v>2</v>
      </c>
      <c r="O7" s="116" t="s">
        <v>210</v>
      </c>
      <c r="P7" s="128" t="s">
        <v>2</v>
      </c>
      <c r="Q7" s="116" t="s">
        <v>210</v>
      </c>
      <c r="R7" s="128" t="s">
        <v>2</v>
      </c>
      <c r="S7" s="116" t="s">
        <v>210</v>
      </c>
      <c r="T7" s="128" t="s">
        <v>2</v>
      </c>
      <c r="U7" s="116" t="s">
        <v>210</v>
      </c>
      <c r="V7" s="128" t="s">
        <v>2</v>
      </c>
      <c r="W7" s="116" t="s">
        <v>210</v>
      </c>
      <c r="X7" s="128" t="s">
        <v>2</v>
      </c>
      <c r="Y7" s="116" t="s">
        <v>210</v>
      </c>
      <c r="Z7" s="128" t="s">
        <v>2</v>
      </c>
      <c r="AA7" s="116" t="s">
        <v>210</v>
      </c>
      <c r="AB7" s="128" t="s">
        <v>2</v>
      </c>
      <c r="AC7" s="116" t="s">
        <v>210</v>
      </c>
      <c r="AD7" s="129" t="s">
        <v>2</v>
      </c>
    </row>
    <row r="8" spans="1:30" x14ac:dyDescent="0.4">
      <c r="A8" s="112" t="s">
        <v>156</v>
      </c>
      <c r="B8" s="112" t="s">
        <v>161</v>
      </c>
      <c r="C8" s="112">
        <v>25000</v>
      </c>
      <c r="E8" s="117" t="s">
        <v>61</v>
      </c>
      <c r="F8" s="122">
        <v>25000</v>
      </c>
      <c r="G8" s="118" t="s">
        <v>69</v>
      </c>
      <c r="H8" s="122">
        <v>25000</v>
      </c>
      <c r="I8" s="118" t="s">
        <v>73</v>
      </c>
      <c r="J8" s="122">
        <v>25000</v>
      </c>
      <c r="K8" s="118" t="s">
        <v>81</v>
      </c>
      <c r="L8" s="122">
        <v>25000</v>
      </c>
      <c r="M8" s="118" t="s">
        <v>100</v>
      </c>
      <c r="N8" s="122">
        <v>25000</v>
      </c>
      <c r="O8" s="118" t="s">
        <v>30</v>
      </c>
      <c r="P8" s="122">
        <v>25000</v>
      </c>
      <c r="Q8" s="118" t="s">
        <v>112</v>
      </c>
      <c r="R8" s="122">
        <v>25000</v>
      </c>
      <c r="S8" s="118" t="s">
        <v>128</v>
      </c>
      <c r="T8" s="122">
        <v>25000</v>
      </c>
      <c r="U8" s="118" t="s">
        <v>130</v>
      </c>
      <c r="V8" s="122">
        <v>25000</v>
      </c>
      <c r="W8" s="118" t="s">
        <v>134</v>
      </c>
      <c r="X8" s="122">
        <v>25000</v>
      </c>
      <c r="Y8" s="118" t="s">
        <v>137</v>
      </c>
      <c r="Z8" s="122">
        <v>25000</v>
      </c>
      <c r="AA8" s="118" t="s">
        <v>146</v>
      </c>
      <c r="AB8" s="122">
        <v>25000</v>
      </c>
      <c r="AC8" s="118" t="s">
        <v>152</v>
      </c>
      <c r="AD8" s="125">
        <v>25000</v>
      </c>
    </row>
    <row r="9" spans="1:30" x14ac:dyDescent="0.4">
      <c r="A9" s="112" t="s">
        <v>156</v>
      </c>
      <c r="B9" s="112" t="s">
        <v>162</v>
      </c>
      <c r="C9" s="112">
        <v>25000</v>
      </c>
      <c r="E9" s="119" t="s">
        <v>62</v>
      </c>
      <c r="F9" s="123">
        <v>25000</v>
      </c>
      <c r="G9" s="120" t="s">
        <v>70</v>
      </c>
      <c r="H9" s="123">
        <v>25000</v>
      </c>
      <c r="I9" s="120" t="s">
        <v>58</v>
      </c>
      <c r="J9" s="123">
        <v>25000</v>
      </c>
      <c r="K9" s="120" t="s">
        <v>82</v>
      </c>
      <c r="L9" s="123">
        <v>25000</v>
      </c>
      <c r="M9" s="120" t="s">
        <v>101</v>
      </c>
      <c r="N9" s="123">
        <v>25000</v>
      </c>
      <c r="O9" s="120" t="s">
        <v>19</v>
      </c>
      <c r="P9" s="123">
        <v>25000</v>
      </c>
      <c r="Q9" s="120" t="s">
        <v>113</v>
      </c>
      <c r="R9" s="123">
        <v>25000</v>
      </c>
      <c r="S9" s="120" t="s">
        <v>129</v>
      </c>
      <c r="T9" s="123">
        <v>25000</v>
      </c>
      <c r="U9" s="120" t="s">
        <v>131</v>
      </c>
      <c r="V9" s="123">
        <v>25000</v>
      </c>
      <c r="W9" s="120" t="s">
        <v>135</v>
      </c>
      <c r="X9" s="123">
        <v>25000</v>
      </c>
      <c r="Y9" s="120" t="s">
        <v>138</v>
      </c>
      <c r="Z9" s="123">
        <v>25000</v>
      </c>
      <c r="AA9" s="120" t="s">
        <v>147</v>
      </c>
      <c r="AB9" s="123">
        <v>25000</v>
      </c>
      <c r="AC9" s="120" t="s">
        <v>153</v>
      </c>
      <c r="AD9" s="126">
        <v>25000</v>
      </c>
    </row>
    <row r="10" spans="1:30" x14ac:dyDescent="0.4">
      <c r="A10" s="112" t="s">
        <v>36</v>
      </c>
      <c r="B10" s="112" t="s">
        <v>163</v>
      </c>
      <c r="C10" s="112">
        <v>25000</v>
      </c>
      <c r="E10" s="119" t="s">
        <v>63</v>
      </c>
      <c r="F10" s="123">
        <v>25000</v>
      </c>
      <c r="G10" s="120" t="s">
        <v>71</v>
      </c>
      <c r="H10" s="123">
        <v>25000</v>
      </c>
      <c r="I10" s="120" t="s">
        <v>74</v>
      </c>
      <c r="J10" s="123">
        <v>25000</v>
      </c>
      <c r="K10" s="120" t="s">
        <v>60</v>
      </c>
      <c r="L10" s="123">
        <v>25000</v>
      </c>
      <c r="M10" s="120" t="s">
        <v>102</v>
      </c>
      <c r="N10" s="123">
        <v>25000</v>
      </c>
      <c r="O10" s="120"/>
      <c r="P10" s="123"/>
      <c r="Q10" s="120" t="s">
        <v>114</v>
      </c>
      <c r="R10" s="123">
        <v>25000</v>
      </c>
      <c r="S10" s="120"/>
      <c r="T10" s="123"/>
      <c r="U10" s="120" t="s">
        <v>132</v>
      </c>
      <c r="V10" s="123">
        <v>25000</v>
      </c>
      <c r="W10" s="120"/>
      <c r="X10" s="123"/>
      <c r="Y10" s="120" t="s">
        <v>139</v>
      </c>
      <c r="Z10" s="123">
        <v>25000</v>
      </c>
      <c r="AA10" s="120" t="s">
        <v>148</v>
      </c>
      <c r="AB10" s="123">
        <v>25000</v>
      </c>
      <c r="AC10" s="120"/>
      <c r="AD10" s="126"/>
    </row>
    <row r="11" spans="1:30" x14ac:dyDescent="0.4">
      <c r="A11" s="112" t="s">
        <v>36</v>
      </c>
      <c r="B11" s="112" t="s">
        <v>37</v>
      </c>
      <c r="C11" s="112">
        <v>25000</v>
      </c>
      <c r="E11" s="119" t="s">
        <v>64</v>
      </c>
      <c r="F11" s="123">
        <v>25000</v>
      </c>
      <c r="G11" s="120" t="s">
        <v>52</v>
      </c>
      <c r="H11" s="123">
        <v>25000</v>
      </c>
      <c r="I11" s="120" t="s">
        <v>26</v>
      </c>
      <c r="J11" s="123">
        <v>25000</v>
      </c>
      <c r="K11" s="120" t="s">
        <v>83</v>
      </c>
      <c r="L11" s="123">
        <v>25000</v>
      </c>
      <c r="M11" s="120" t="s">
        <v>103</v>
      </c>
      <c r="N11" s="123">
        <v>25000</v>
      </c>
      <c r="O11" s="120"/>
      <c r="P11" s="123"/>
      <c r="Q11" s="120" t="s">
        <v>115</v>
      </c>
      <c r="R11" s="123">
        <v>25000</v>
      </c>
      <c r="S11" s="120"/>
      <c r="T11" s="123"/>
      <c r="U11" s="120" t="s">
        <v>133</v>
      </c>
      <c r="V11" s="123">
        <v>25000</v>
      </c>
      <c r="W11" s="120"/>
      <c r="X11" s="123"/>
      <c r="Y11" s="120" t="s">
        <v>140</v>
      </c>
      <c r="Z11" s="123">
        <v>25000</v>
      </c>
      <c r="AA11" s="120" t="s">
        <v>149</v>
      </c>
      <c r="AB11" s="123">
        <v>25000</v>
      </c>
      <c r="AC11" s="120"/>
      <c r="AD11" s="126"/>
    </row>
    <row r="12" spans="1:30" x14ac:dyDescent="0.4">
      <c r="A12" s="112" t="s">
        <v>32</v>
      </c>
      <c r="B12" s="112" t="s">
        <v>164</v>
      </c>
      <c r="C12" s="112">
        <v>25000</v>
      </c>
      <c r="E12" s="119" t="s">
        <v>65</v>
      </c>
      <c r="F12" s="123">
        <v>25000</v>
      </c>
      <c r="G12" s="120" t="s">
        <v>72</v>
      </c>
      <c r="H12" s="123">
        <v>25000</v>
      </c>
      <c r="I12" s="120" t="s">
        <v>75</v>
      </c>
      <c r="J12" s="123">
        <v>25000</v>
      </c>
      <c r="K12" s="120" t="s">
        <v>84</v>
      </c>
      <c r="L12" s="123">
        <v>25000</v>
      </c>
      <c r="M12" s="120" t="s">
        <v>23</v>
      </c>
      <c r="N12" s="123">
        <v>25000</v>
      </c>
      <c r="O12" s="120"/>
      <c r="P12" s="123"/>
      <c r="Q12" s="120" t="s">
        <v>116</v>
      </c>
      <c r="R12" s="123">
        <v>25000</v>
      </c>
      <c r="S12" s="120"/>
      <c r="T12" s="123"/>
      <c r="U12" s="120"/>
      <c r="V12" s="123"/>
      <c r="W12" s="120"/>
      <c r="X12" s="123"/>
      <c r="Y12" s="120" t="s">
        <v>141</v>
      </c>
      <c r="Z12" s="123">
        <v>25000</v>
      </c>
      <c r="AA12" s="120" t="s">
        <v>150</v>
      </c>
      <c r="AB12" s="123">
        <v>25000</v>
      </c>
      <c r="AC12" s="120"/>
      <c r="AD12" s="126"/>
    </row>
    <row r="13" spans="1:30" x14ac:dyDescent="0.4">
      <c r="A13" s="112" t="s">
        <v>32</v>
      </c>
      <c r="B13" s="112" t="s">
        <v>165</v>
      </c>
      <c r="C13" s="112">
        <v>25000</v>
      </c>
      <c r="E13" s="119" t="s">
        <v>66</v>
      </c>
      <c r="F13" s="123">
        <v>25000</v>
      </c>
      <c r="G13" s="120"/>
      <c r="H13" s="123"/>
      <c r="I13" s="120" t="s">
        <v>76</v>
      </c>
      <c r="J13" s="123">
        <v>25000</v>
      </c>
      <c r="K13" s="120" t="s">
        <v>59</v>
      </c>
      <c r="L13" s="123">
        <v>25000</v>
      </c>
      <c r="M13" s="120" t="s">
        <v>104</v>
      </c>
      <c r="N13" s="123">
        <v>25000</v>
      </c>
      <c r="O13" s="120"/>
      <c r="P13" s="123"/>
      <c r="Q13" s="120" t="s">
        <v>117</v>
      </c>
      <c r="R13" s="123">
        <v>25000</v>
      </c>
      <c r="S13" s="120"/>
      <c r="T13" s="123"/>
      <c r="U13" s="120"/>
      <c r="V13" s="123"/>
      <c r="W13" s="120"/>
      <c r="X13" s="123"/>
      <c r="Y13" s="120" t="s">
        <v>142</v>
      </c>
      <c r="Z13" s="123">
        <v>25000</v>
      </c>
      <c r="AA13" s="120" t="s">
        <v>151</v>
      </c>
      <c r="AB13" s="123">
        <v>25000</v>
      </c>
      <c r="AC13" s="120"/>
      <c r="AD13" s="126"/>
    </row>
    <row r="14" spans="1:30" x14ac:dyDescent="0.4">
      <c r="A14" s="112" t="s">
        <v>32</v>
      </c>
      <c r="B14" s="112" t="s">
        <v>166</v>
      </c>
      <c r="C14" s="112">
        <v>25000</v>
      </c>
      <c r="E14" s="119" t="s">
        <v>67</v>
      </c>
      <c r="F14" s="123">
        <v>25000</v>
      </c>
      <c r="G14" s="120"/>
      <c r="H14" s="123"/>
      <c r="I14" s="120" t="s">
        <v>77</v>
      </c>
      <c r="J14" s="123">
        <v>25000</v>
      </c>
      <c r="K14" s="120" t="s">
        <v>85</v>
      </c>
      <c r="L14" s="123">
        <v>25000</v>
      </c>
      <c r="M14" s="120" t="s">
        <v>105</v>
      </c>
      <c r="N14" s="123">
        <v>25000</v>
      </c>
      <c r="O14" s="120"/>
      <c r="P14" s="123"/>
      <c r="Q14" s="120" t="s">
        <v>118</v>
      </c>
      <c r="R14" s="123">
        <v>25000</v>
      </c>
      <c r="S14" s="120"/>
      <c r="T14" s="123"/>
      <c r="U14" s="120"/>
      <c r="V14" s="123"/>
      <c r="W14" s="120"/>
      <c r="X14" s="123"/>
      <c r="Y14" s="120" t="s">
        <v>143</v>
      </c>
      <c r="Z14" s="123">
        <v>25000</v>
      </c>
      <c r="AA14" s="120"/>
      <c r="AB14" s="123"/>
      <c r="AC14" s="120"/>
      <c r="AD14" s="126"/>
    </row>
    <row r="15" spans="1:30" x14ac:dyDescent="0.4">
      <c r="A15" s="112" t="s">
        <v>32</v>
      </c>
      <c r="B15" s="112" t="s">
        <v>57</v>
      </c>
      <c r="C15" s="112">
        <v>25000</v>
      </c>
      <c r="E15" s="119" t="s">
        <v>68</v>
      </c>
      <c r="F15" s="123">
        <v>25000</v>
      </c>
      <c r="G15" s="120"/>
      <c r="H15" s="123"/>
      <c r="I15" s="120" t="s">
        <v>78</v>
      </c>
      <c r="J15" s="123">
        <v>25000</v>
      </c>
      <c r="K15" s="120" t="s">
        <v>86</v>
      </c>
      <c r="L15" s="123">
        <v>25000</v>
      </c>
      <c r="M15" s="120" t="s">
        <v>106</v>
      </c>
      <c r="N15" s="123">
        <v>25000</v>
      </c>
      <c r="O15" s="120"/>
      <c r="P15" s="123"/>
      <c r="Q15" s="120" t="s">
        <v>119</v>
      </c>
      <c r="R15" s="123">
        <v>25000</v>
      </c>
      <c r="S15" s="120"/>
      <c r="T15" s="123"/>
      <c r="U15" s="120"/>
      <c r="V15" s="123"/>
      <c r="W15" s="120"/>
      <c r="X15" s="123"/>
      <c r="Y15" s="120" t="s">
        <v>144</v>
      </c>
      <c r="Z15" s="123">
        <v>25000</v>
      </c>
      <c r="AA15" s="120"/>
      <c r="AB15" s="123"/>
      <c r="AC15" s="120"/>
      <c r="AD15" s="126"/>
    </row>
    <row r="16" spans="1:30" x14ac:dyDescent="0.4">
      <c r="A16" s="112" t="s">
        <v>32</v>
      </c>
      <c r="B16" s="112" t="s">
        <v>167</v>
      </c>
      <c r="C16" s="112">
        <v>25000</v>
      </c>
      <c r="E16" s="119"/>
      <c r="F16" s="123"/>
      <c r="G16" s="120"/>
      <c r="H16" s="123"/>
      <c r="I16" s="120" t="s">
        <v>79</v>
      </c>
      <c r="J16" s="123">
        <v>25000</v>
      </c>
      <c r="K16" s="120" t="s">
        <v>87</v>
      </c>
      <c r="L16" s="123">
        <v>25000</v>
      </c>
      <c r="M16" s="120" t="s">
        <v>107</v>
      </c>
      <c r="N16" s="123">
        <v>25000</v>
      </c>
      <c r="O16" s="120"/>
      <c r="P16" s="123"/>
      <c r="Q16" s="120" t="s">
        <v>120</v>
      </c>
      <c r="R16" s="123">
        <v>25000</v>
      </c>
      <c r="S16" s="120"/>
      <c r="T16" s="123"/>
      <c r="U16" s="120"/>
      <c r="V16" s="123"/>
      <c r="W16" s="120"/>
      <c r="X16" s="123"/>
      <c r="Y16" s="120" t="s">
        <v>145</v>
      </c>
      <c r="Z16" s="123">
        <v>25000</v>
      </c>
      <c r="AA16" s="120"/>
      <c r="AB16" s="123"/>
      <c r="AC16" s="120"/>
      <c r="AD16" s="126"/>
    </row>
    <row r="17" spans="1:30" x14ac:dyDescent="0.4">
      <c r="A17" s="112" t="s">
        <v>32</v>
      </c>
      <c r="B17" s="112" t="s">
        <v>168</v>
      </c>
      <c r="C17" s="112">
        <v>25000</v>
      </c>
      <c r="E17" s="119"/>
      <c r="F17" s="123"/>
      <c r="G17" s="120"/>
      <c r="H17" s="123"/>
      <c r="I17" s="120" t="s">
        <v>80</v>
      </c>
      <c r="J17" s="123">
        <v>25000</v>
      </c>
      <c r="K17" s="120" t="s">
        <v>22</v>
      </c>
      <c r="L17" s="123">
        <v>25000</v>
      </c>
      <c r="M17" s="120" t="s">
        <v>108</v>
      </c>
      <c r="N17" s="123">
        <v>25000</v>
      </c>
      <c r="O17" s="120"/>
      <c r="P17" s="123"/>
      <c r="Q17" s="120">
        <v>123667767</v>
      </c>
      <c r="R17" s="123">
        <v>25000</v>
      </c>
      <c r="S17" s="120"/>
      <c r="T17" s="123"/>
      <c r="U17" s="120"/>
      <c r="V17" s="123"/>
      <c r="W17" s="120"/>
      <c r="X17" s="123"/>
      <c r="Y17" s="120"/>
      <c r="Z17" s="123"/>
      <c r="AA17" s="120"/>
      <c r="AB17" s="123"/>
      <c r="AC17" s="120"/>
      <c r="AD17" s="126"/>
    </row>
    <row r="18" spans="1:30" x14ac:dyDescent="0.4">
      <c r="A18" s="112" t="s">
        <v>32</v>
      </c>
      <c r="B18" s="112" t="s">
        <v>169</v>
      </c>
      <c r="C18" s="112">
        <v>25000</v>
      </c>
      <c r="E18" s="119"/>
      <c r="F18" s="123"/>
      <c r="G18" s="120"/>
      <c r="H18" s="123"/>
      <c r="I18" s="120"/>
      <c r="J18" s="123"/>
      <c r="K18" s="120" t="s">
        <v>88</v>
      </c>
      <c r="L18" s="123">
        <v>25000</v>
      </c>
      <c r="M18" s="120" t="s">
        <v>109</v>
      </c>
      <c r="N18" s="123">
        <v>25000</v>
      </c>
      <c r="O18" s="120"/>
      <c r="P18" s="123"/>
      <c r="Q18" s="120" t="s">
        <v>121</v>
      </c>
      <c r="R18" s="123">
        <v>25000</v>
      </c>
      <c r="S18" s="120"/>
      <c r="T18" s="123"/>
      <c r="U18" s="120"/>
      <c r="V18" s="123"/>
      <c r="W18" s="120"/>
      <c r="X18" s="123"/>
      <c r="Y18" s="120"/>
      <c r="Z18" s="123"/>
      <c r="AA18" s="120"/>
      <c r="AB18" s="123"/>
      <c r="AC18" s="120"/>
      <c r="AD18" s="126"/>
    </row>
    <row r="19" spans="1:30" x14ac:dyDescent="0.4">
      <c r="A19" s="112" t="s">
        <v>32</v>
      </c>
      <c r="B19" s="112" t="s">
        <v>170</v>
      </c>
      <c r="C19" s="112">
        <v>25000</v>
      </c>
      <c r="E19" s="119"/>
      <c r="F19" s="123"/>
      <c r="G19" s="120"/>
      <c r="H19" s="123"/>
      <c r="I19" s="120"/>
      <c r="J19" s="123"/>
      <c r="K19" s="120" t="s">
        <v>28</v>
      </c>
      <c r="L19" s="123">
        <v>25000</v>
      </c>
      <c r="M19" s="120" t="s">
        <v>110</v>
      </c>
      <c r="N19" s="123">
        <v>25000</v>
      </c>
      <c r="O19" s="120"/>
      <c r="P19" s="123"/>
      <c r="Q19" s="120" t="s">
        <v>122</v>
      </c>
      <c r="R19" s="123">
        <v>25000</v>
      </c>
      <c r="S19" s="120"/>
      <c r="T19" s="123"/>
      <c r="U19" s="120"/>
      <c r="V19" s="123"/>
      <c r="W19" s="120"/>
      <c r="X19" s="123"/>
      <c r="Y19" s="120"/>
      <c r="Z19" s="123"/>
      <c r="AA19" s="120"/>
      <c r="AB19" s="123"/>
      <c r="AC19" s="120"/>
      <c r="AD19" s="126"/>
    </row>
    <row r="20" spans="1:30" x14ac:dyDescent="0.4">
      <c r="A20" s="112" t="s">
        <v>183</v>
      </c>
      <c r="B20" s="112" t="s">
        <v>184</v>
      </c>
      <c r="C20" s="112">
        <v>25000</v>
      </c>
      <c r="E20" s="119"/>
      <c r="F20" s="123"/>
      <c r="G20" s="120"/>
      <c r="H20" s="123"/>
      <c r="I20" s="120"/>
      <c r="J20" s="123"/>
      <c r="K20" s="120" t="s">
        <v>21</v>
      </c>
      <c r="L20" s="123">
        <v>25000</v>
      </c>
      <c r="M20" s="120" t="s">
        <v>24</v>
      </c>
      <c r="N20" s="123">
        <v>25000</v>
      </c>
      <c r="O20" s="120"/>
      <c r="P20" s="123"/>
      <c r="Q20" s="120" t="s">
        <v>123</v>
      </c>
      <c r="R20" s="123">
        <v>25000</v>
      </c>
      <c r="S20" s="120"/>
      <c r="T20" s="123"/>
      <c r="U20" s="120"/>
      <c r="V20" s="123"/>
      <c r="W20" s="120"/>
      <c r="X20" s="123"/>
      <c r="Y20" s="120"/>
      <c r="Z20" s="123"/>
      <c r="AA20" s="120"/>
      <c r="AB20" s="123"/>
      <c r="AC20" s="120"/>
      <c r="AD20" s="126"/>
    </row>
    <row r="21" spans="1:30" x14ac:dyDescent="0.4">
      <c r="A21" s="112" t="s">
        <v>183</v>
      </c>
      <c r="B21" s="112" t="s">
        <v>185</v>
      </c>
      <c r="C21" s="112">
        <v>25000</v>
      </c>
      <c r="E21" s="119"/>
      <c r="F21" s="123"/>
      <c r="G21" s="120"/>
      <c r="H21" s="123"/>
      <c r="I21" s="120"/>
      <c r="J21" s="123"/>
      <c r="K21" s="120" t="s">
        <v>89</v>
      </c>
      <c r="L21" s="123">
        <v>25000</v>
      </c>
      <c r="M21" s="120" t="s">
        <v>29</v>
      </c>
      <c r="N21" s="123">
        <v>25000</v>
      </c>
      <c r="O21" s="120"/>
      <c r="P21" s="123"/>
      <c r="Q21" s="120" t="s">
        <v>124</v>
      </c>
      <c r="R21" s="123">
        <v>25000</v>
      </c>
      <c r="S21" s="120"/>
      <c r="T21" s="123"/>
      <c r="U21" s="120"/>
      <c r="V21" s="123"/>
      <c r="W21" s="120"/>
      <c r="X21" s="123"/>
      <c r="Y21" s="120"/>
      <c r="Z21" s="123"/>
      <c r="AA21" s="120"/>
      <c r="AB21" s="123"/>
      <c r="AC21" s="120"/>
      <c r="AD21" s="126"/>
    </row>
    <row r="22" spans="1:30" x14ac:dyDescent="0.4">
      <c r="A22" s="112" t="s">
        <v>183</v>
      </c>
      <c r="B22" s="112" t="s">
        <v>186</v>
      </c>
      <c r="C22" s="112">
        <v>25000</v>
      </c>
      <c r="E22" s="119"/>
      <c r="F22" s="123"/>
      <c r="G22" s="120"/>
      <c r="H22" s="123"/>
      <c r="I22" s="120"/>
      <c r="J22" s="123"/>
      <c r="K22" s="120" t="s">
        <v>27</v>
      </c>
      <c r="L22" s="123">
        <v>25000</v>
      </c>
      <c r="M22" s="120" t="s">
        <v>111</v>
      </c>
      <c r="N22" s="123">
        <v>25000</v>
      </c>
      <c r="O22" s="120"/>
      <c r="P22" s="123"/>
      <c r="Q22" s="120" t="s">
        <v>125</v>
      </c>
      <c r="R22" s="123">
        <v>25000</v>
      </c>
      <c r="S22" s="120"/>
      <c r="T22" s="123"/>
      <c r="U22" s="120"/>
      <c r="V22" s="123"/>
      <c r="W22" s="120"/>
      <c r="X22" s="123"/>
      <c r="Y22" s="120"/>
      <c r="Z22" s="123"/>
      <c r="AA22" s="120"/>
      <c r="AB22" s="123"/>
      <c r="AC22" s="120"/>
      <c r="AD22" s="126"/>
    </row>
    <row r="23" spans="1:30" x14ac:dyDescent="0.4">
      <c r="A23" s="112" t="s">
        <v>16</v>
      </c>
      <c r="B23" s="112" t="s">
        <v>187</v>
      </c>
      <c r="C23" s="112">
        <v>25000</v>
      </c>
      <c r="E23" s="119"/>
      <c r="F23" s="123"/>
      <c r="G23" s="120"/>
      <c r="H23" s="123"/>
      <c r="I23" s="120"/>
      <c r="J23" s="123"/>
      <c r="K23" s="120" t="s">
        <v>90</v>
      </c>
      <c r="L23" s="123">
        <v>25000</v>
      </c>
      <c r="M23" s="120" t="s">
        <v>55</v>
      </c>
      <c r="N23" s="123">
        <v>25000</v>
      </c>
      <c r="O23" s="120"/>
      <c r="P23" s="123"/>
      <c r="Q23" s="120" t="s">
        <v>126</v>
      </c>
      <c r="R23" s="123">
        <v>25000</v>
      </c>
      <c r="S23" s="120"/>
      <c r="T23" s="123"/>
      <c r="U23" s="120"/>
      <c r="V23" s="123"/>
      <c r="W23" s="120"/>
      <c r="X23" s="123"/>
      <c r="Y23" s="120"/>
      <c r="Z23" s="123"/>
      <c r="AA23" s="120"/>
      <c r="AB23" s="123"/>
      <c r="AC23" s="120"/>
      <c r="AD23" s="126"/>
    </row>
    <row r="24" spans="1:30" x14ac:dyDescent="0.4">
      <c r="A24" s="112" t="s">
        <v>16</v>
      </c>
      <c r="B24" s="112" t="s">
        <v>188</v>
      </c>
      <c r="C24" s="112">
        <v>25000</v>
      </c>
      <c r="E24" s="119"/>
      <c r="F24" s="123"/>
      <c r="G24" s="120"/>
      <c r="H24" s="123"/>
      <c r="I24" s="120"/>
      <c r="J24" s="123"/>
      <c r="K24" s="120" t="s">
        <v>91</v>
      </c>
      <c r="L24" s="123">
        <v>25000</v>
      </c>
      <c r="M24" s="120"/>
      <c r="N24" s="123"/>
      <c r="O24" s="120"/>
      <c r="P24" s="123"/>
      <c r="Q24" s="120" t="s">
        <v>127</v>
      </c>
      <c r="R24" s="123">
        <v>25000</v>
      </c>
      <c r="S24" s="120"/>
      <c r="T24" s="123"/>
      <c r="U24" s="120"/>
      <c r="V24" s="123"/>
      <c r="W24" s="120"/>
      <c r="X24" s="123"/>
      <c r="Y24" s="120"/>
      <c r="Z24" s="123"/>
      <c r="AA24" s="120"/>
      <c r="AB24" s="123"/>
      <c r="AC24" s="120"/>
      <c r="AD24" s="126"/>
    </row>
    <row r="25" spans="1:30" x14ac:dyDescent="0.4">
      <c r="A25" s="112" t="s">
        <v>16</v>
      </c>
      <c r="B25" s="112" t="s">
        <v>189</v>
      </c>
      <c r="C25" s="112">
        <v>25000</v>
      </c>
      <c r="E25" s="119"/>
      <c r="F25" s="123"/>
      <c r="G25" s="120"/>
      <c r="H25" s="123"/>
      <c r="I25" s="120"/>
      <c r="J25" s="123"/>
      <c r="K25" s="120" t="s">
        <v>92</v>
      </c>
      <c r="L25" s="123">
        <v>25000</v>
      </c>
      <c r="M25" s="120"/>
      <c r="N25" s="123"/>
      <c r="O25" s="120"/>
      <c r="P25" s="123"/>
      <c r="Q25" s="120"/>
      <c r="R25" s="123"/>
      <c r="S25" s="120"/>
      <c r="T25" s="123"/>
      <c r="U25" s="120"/>
      <c r="V25" s="123"/>
      <c r="W25" s="120"/>
      <c r="X25" s="123"/>
      <c r="Y25" s="120"/>
      <c r="Z25" s="123"/>
      <c r="AA25" s="120"/>
      <c r="AB25" s="123"/>
      <c r="AC25" s="120"/>
      <c r="AD25" s="126"/>
    </row>
    <row r="26" spans="1:30" x14ac:dyDescent="0.4">
      <c r="A26" s="112" t="s">
        <v>16</v>
      </c>
      <c r="B26" s="112" t="s">
        <v>190</v>
      </c>
      <c r="C26" s="112">
        <v>25000</v>
      </c>
      <c r="E26" s="119"/>
      <c r="F26" s="123"/>
      <c r="G26" s="120"/>
      <c r="H26" s="123"/>
      <c r="I26" s="120"/>
      <c r="J26" s="123"/>
      <c r="K26" s="120" t="s">
        <v>93</v>
      </c>
      <c r="L26" s="123">
        <v>25000</v>
      </c>
      <c r="M26" s="120"/>
      <c r="N26" s="123"/>
      <c r="O26" s="120"/>
      <c r="P26" s="123"/>
      <c r="Q26" s="120"/>
      <c r="R26" s="123"/>
      <c r="S26" s="120"/>
      <c r="T26" s="123"/>
      <c r="U26" s="120"/>
      <c r="V26" s="123"/>
      <c r="W26" s="120"/>
      <c r="X26" s="123"/>
      <c r="Y26" s="120"/>
      <c r="Z26" s="123"/>
      <c r="AA26" s="120"/>
      <c r="AB26" s="123"/>
      <c r="AC26" s="120"/>
      <c r="AD26" s="126"/>
    </row>
    <row r="27" spans="1:30" x14ac:dyDescent="0.4">
      <c r="A27" s="112" t="s">
        <v>16</v>
      </c>
      <c r="B27" s="112" t="s">
        <v>191</v>
      </c>
      <c r="C27" s="112">
        <v>25000</v>
      </c>
      <c r="E27" s="119"/>
      <c r="F27" s="123"/>
      <c r="G27" s="120"/>
      <c r="H27" s="123"/>
      <c r="I27" s="120"/>
      <c r="J27" s="123"/>
      <c r="K27" s="120" t="s">
        <v>94</v>
      </c>
      <c r="L27" s="123">
        <v>25000</v>
      </c>
      <c r="M27" s="120"/>
      <c r="N27" s="123"/>
      <c r="O27" s="120"/>
      <c r="P27" s="123"/>
      <c r="Q27" s="120"/>
      <c r="R27" s="123"/>
      <c r="S27" s="120"/>
      <c r="T27" s="123"/>
      <c r="U27" s="120"/>
      <c r="V27" s="123"/>
      <c r="W27" s="120"/>
      <c r="X27" s="123"/>
      <c r="Y27" s="120"/>
      <c r="Z27" s="123"/>
      <c r="AA27" s="120"/>
      <c r="AB27" s="123"/>
      <c r="AC27" s="120"/>
      <c r="AD27" s="126"/>
    </row>
    <row r="28" spans="1:30" x14ac:dyDescent="0.4">
      <c r="A28" s="112" t="s">
        <v>16</v>
      </c>
      <c r="B28" s="112" t="s">
        <v>192</v>
      </c>
      <c r="C28" s="112">
        <v>25000</v>
      </c>
      <c r="E28" s="119"/>
      <c r="F28" s="123"/>
      <c r="G28" s="120"/>
      <c r="H28" s="123"/>
      <c r="I28" s="120"/>
      <c r="J28" s="123"/>
      <c r="K28" s="120" t="s">
        <v>95</v>
      </c>
      <c r="L28" s="123">
        <v>25000</v>
      </c>
      <c r="M28" s="120"/>
      <c r="N28" s="123"/>
      <c r="O28" s="120"/>
      <c r="P28" s="123"/>
      <c r="Q28" s="120"/>
      <c r="R28" s="123"/>
      <c r="S28" s="120"/>
      <c r="T28" s="123"/>
      <c r="U28" s="120"/>
      <c r="V28" s="123"/>
      <c r="W28" s="120"/>
      <c r="X28" s="123"/>
      <c r="Y28" s="120"/>
      <c r="Z28" s="123"/>
      <c r="AA28" s="120"/>
      <c r="AB28" s="123"/>
      <c r="AC28" s="120"/>
      <c r="AD28" s="126"/>
    </row>
    <row r="29" spans="1:30" x14ac:dyDescent="0.4">
      <c r="A29" s="112" t="s">
        <v>16</v>
      </c>
      <c r="B29" s="112" t="s">
        <v>193</v>
      </c>
      <c r="C29" s="112">
        <v>25000</v>
      </c>
      <c r="E29" s="119"/>
      <c r="F29" s="123"/>
      <c r="G29" s="120"/>
      <c r="H29" s="123"/>
      <c r="I29" s="120"/>
      <c r="J29" s="123"/>
      <c r="K29" s="120" t="s">
        <v>96</v>
      </c>
      <c r="L29" s="123">
        <v>25000</v>
      </c>
      <c r="M29" s="120"/>
      <c r="N29" s="123"/>
      <c r="O29" s="120"/>
      <c r="P29" s="123"/>
      <c r="Q29" s="120"/>
      <c r="R29" s="123"/>
      <c r="S29" s="120"/>
      <c r="T29" s="123"/>
      <c r="U29" s="120"/>
      <c r="V29" s="123"/>
      <c r="W29" s="120"/>
      <c r="X29" s="123"/>
      <c r="Y29" s="120"/>
      <c r="Z29" s="123"/>
      <c r="AA29" s="120"/>
      <c r="AB29" s="123"/>
      <c r="AC29" s="120"/>
      <c r="AD29" s="126"/>
    </row>
    <row r="30" spans="1:30" x14ac:dyDescent="0.4">
      <c r="A30" s="112" t="s">
        <v>16</v>
      </c>
      <c r="B30" s="112" t="s">
        <v>34</v>
      </c>
      <c r="C30" s="112">
        <v>25000</v>
      </c>
      <c r="E30" s="119"/>
      <c r="F30" s="123"/>
      <c r="G30" s="120"/>
      <c r="H30" s="123"/>
      <c r="I30" s="120"/>
      <c r="J30" s="123"/>
      <c r="K30" s="120" t="s">
        <v>97</v>
      </c>
      <c r="L30" s="123">
        <v>25000</v>
      </c>
      <c r="M30" s="120"/>
      <c r="N30" s="123"/>
      <c r="O30" s="120"/>
      <c r="P30" s="123"/>
      <c r="Q30" s="120"/>
      <c r="R30" s="123"/>
      <c r="S30" s="120"/>
      <c r="T30" s="123"/>
      <c r="U30" s="120"/>
      <c r="V30" s="123"/>
      <c r="W30" s="120"/>
      <c r="X30" s="123"/>
      <c r="Y30" s="120"/>
      <c r="Z30" s="123"/>
      <c r="AA30" s="120"/>
      <c r="AB30" s="123"/>
      <c r="AC30" s="120"/>
      <c r="AD30" s="126"/>
    </row>
    <row r="31" spans="1:30" x14ac:dyDescent="0.4">
      <c r="A31" s="112" t="s">
        <v>16</v>
      </c>
      <c r="B31" s="112" t="s">
        <v>33</v>
      </c>
      <c r="C31" s="112">
        <v>25000</v>
      </c>
      <c r="E31" s="119"/>
      <c r="F31" s="123"/>
      <c r="G31" s="120"/>
      <c r="H31" s="123"/>
      <c r="I31" s="120"/>
      <c r="J31" s="123"/>
      <c r="K31" s="120" t="s">
        <v>98</v>
      </c>
      <c r="L31" s="123">
        <v>25000</v>
      </c>
      <c r="M31" s="120"/>
      <c r="N31" s="123"/>
      <c r="O31" s="120"/>
      <c r="P31" s="123"/>
      <c r="Q31" s="120"/>
      <c r="R31" s="123"/>
      <c r="S31" s="120"/>
      <c r="T31" s="123"/>
      <c r="U31" s="120"/>
      <c r="V31" s="123"/>
      <c r="W31" s="120"/>
      <c r="X31" s="123"/>
      <c r="Y31" s="120"/>
      <c r="Z31" s="123"/>
      <c r="AA31" s="120"/>
      <c r="AB31" s="123"/>
      <c r="AC31" s="120"/>
      <c r="AD31" s="126"/>
    </row>
    <row r="32" spans="1:30" x14ac:dyDescent="0.4">
      <c r="A32" s="112" t="s">
        <v>16</v>
      </c>
      <c r="B32" s="112" t="s">
        <v>194</v>
      </c>
      <c r="C32" s="112">
        <v>25000</v>
      </c>
      <c r="E32" s="119"/>
      <c r="F32" s="123"/>
      <c r="G32" s="120"/>
      <c r="H32" s="123"/>
      <c r="I32" s="120"/>
      <c r="J32" s="123"/>
      <c r="K32" s="120" t="s">
        <v>99</v>
      </c>
      <c r="L32" s="123">
        <v>25000</v>
      </c>
      <c r="M32" s="120"/>
      <c r="N32" s="123"/>
      <c r="O32" s="120"/>
      <c r="P32" s="123"/>
      <c r="Q32" s="120"/>
      <c r="R32" s="123"/>
      <c r="S32" s="120"/>
      <c r="T32" s="123"/>
      <c r="U32" s="120"/>
      <c r="V32" s="123"/>
      <c r="W32" s="120"/>
      <c r="X32" s="123"/>
      <c r="Y32" s="120"/>
      <c r="Z32" s="123"/>
      <c r="AA32" s="120"/>
      <c r="AB32" s="123"/>
      <c r="AC32" s="120"/>
      <c r="AD32" s="126"/>
    </row>
    <row r="33" spans="1:30" x14ac:dyDescent="0.4">
      <c r="A33" s="112" t="s">
        <v>16</v>
      </c>
      <c r="B33" s="112" t="s">
        <v>195</v>
      </c>
      <c r="C33" s="112">
        <v>25000</v>
      </c>
      <c r="E33" s="113"/>
      <c r="F33" s="124"/>
      <c r="G33" s="114"/>
      <c r="H33" s="124"/>
      <c r="I33" s="114"/>
      <c r="J33" s="124"/>
      <c r="K33" s="114"/>
      <c r="L33" s="124"/>
      <c r="M33" s="114"/>
      <c r="N33" s="124"/>
      <c r="O33" s="114"/>
      <c r="P33" s="124"/>
      <c r="Q33" s="114"/>
      <c r="R33" s="124"/>
      <c r="S33" s="114"/>
      <c r="T33" s="124"/>
      <c r="U33" s="114"/>
      <c r="V33" s="124"/>
      <c r="W33" s="114"/>
      <c r="X33" s="124"/>
      <c r="Y33" s="114"/>
      <c r="Z33" s="124"/>
      <c r="AA33" s="114"/>
      <c r="AB33" s="124"/>
      <c r="AC33" s="114"/>
      <c r="AD33" s="127"/>
    </row>
    <row r="34" spans="1:30" x14ac:dyDescent="0.4">
      <c r="A34" s="112" t="s">
        <v>16</v>
      </c>
      <c r="B34" s="112" t="s">
        <v>196</v>
      </c>
      <c r="C34" s="112">
        <v>25000</v>
      </c>
    </row>
    <row r="35" spans="1:30" x14ac:dyDescent="0.4">
      <c r="A35" s="112" t="s">
        <v>16</v>
      </c>
      <c r="B35" s="112" t="s">
        <v>39</v>
      </c>
      <c r="C35" s="112">
        <v>25000</v>
      </c>
      <c r="E35" s="155" t="s">
        <v>308</v>
      </c>
      <c r="F35" s="154"/>
      <c r="G35" s="153" t="s">
        <v>309</v>
      </c>
      <c r="H35" s="154"/>
      <c r="I35" s="153" t="s">
        <v>156</v>
      </c>
      <c r="J35" s="154"/>
      <c r="K35" s="153" t="s">
        <v>36</v>
      </c>
      <c r="L35" s="154"/>
      <c r="M35" s="153" t="s">
        <v>310</v>
      </c>
      <c r="N35" s="154"/>
      <c r="O35" s="153" t="s">
        <v>311</v>
      </c>
      <c r="P35" s="154"/>
      <c r="Q35" s="153" t="s">
        <v>312</v>
      </c>
      <c r="R35" s="154"/>
      <c r="S35" s="153" t="s">
        <v>313</v>
      </c>
      <c r="T35" s="154"/>
      <c r="U35" s="153" t="s">
        <v>314</v>
      </c>
      <c r="V35" s="154"/>
      <c r="W35" s="153" t="s">
        <v>315</v>
      </c>
      <c r="X35" s="154"/>
      <c r="Y35" s="153" t="s">
        <v>206</v>
      </c>
      <c r="Z35" s="154"/>
      <c r="AA35" s="153" t="s">
        <v>40</v>
      </c>
      <c r="AB35" s="155"/>
    </row>
    <row r="36" spans="1:30" x14ac:dyDescent="0.4">
      <c r="A36" s="112" t="s">
        <v>35</v>
      </c>
      <c r="B36" s="112" t="s">
        <v>197</v>
      </c>
      <c r="C36" s="112">
        <v>25000</v>
      </c>
      <c r="E36" s="115" t="s">
        <v>210</v>
      </c>
      <c r="F36" s="128" t="s">
        <v>2</v>
      </c>
      <c r="G36" s="116" t="s">
        <v>210</v>
      </c>
      <c r="H36" s="128" t="s">
        <v>2</v>
      </c>
      <c r="I36" s="116" t="s">
        <v>210</v>
      </c>
      <c r="J36" s="128" t="s">
        <v>2</v>
      </c>
      <c r="K36" s="116" t="s">
        <v>210</v>
      </c>
      <c r="L36" s="128" t="s">
        <v>2</v>
      </c>
      <c r="M36" s="116" t="s">
        <v>210</v>
      </c>
      <c r="N36" s="128" t="s">
        <v>2</v>
      </c>
      <c r="O36" s="116" t="s">
        <v>210</v>
      </c>
      <c r="P36" s="128" t="s">
        <v>2</v>
      </c>
      <c r="Q36" s="116" t="s">
        <v>210</v>
      </c>
      <c r="R36" s="128" t="s">
        <v>2</v>
      </c>
      <c r="S36" s="116" t="s">
        <v>210</v>
      </c>
      <c r="T36" s="128" t="s">
        <v>2</v>
      </c>
      <c r="U36" s="116" t="s">
        <v>210</v>
      </c>
      <c r="V36" s="128" t="s">
        <v>2</v>
      </c>
      <c r="W36" s="116" t="s">
        <v>210</v>
      </c>
      <c r="X36" s="128" t="s">
        <v>2</v>
      </c>
      <c r="Y36" s="116" t="s">
        <v>210</v>
      </c>
      <c r="Z36" s="128" t="s">
        <v>2</v>
      </c>
      <c r="AA36" s="116" t="s">
        <v>210</v>
      </c>
      <c r="AB36" s="129" t="s">
        <v>2</v>
      </c>
    </row>
    <row r="37" spans="1:30" x14ac:dyDescent="0.4">
      <c r="A37" s="112" t="s">
        <v>198</v>
      </c>
      <c r="B37" s="112" t="s">
        <v>199</v>
      </c>
      <c r="C37" s="112">
        <v>25000</v>
      </c>
      <c r="E37" s="117" t="s">
        <v>154</v>
      </c>
      <c r="F37" s="122">
        <v>25000</v>
      </c>
      <c r="G37" s="118" t="s">
        <v>54</v>
      </c>
      <c r="H37" s="122">
        <v>25000</v>
      </c>
      <c r="I37" s="118" t="s">
        <v>157</v>
      </c>
      <c r="J37" s="122">
        <v>25000</v>
      </c>
      <c r="K37" s="118" t="s">
        <v>163</v>
      </c>
      <c r="L37" s="122">
        <v>25000</v>
      </c>
      <c r="M37" s="118" t="s">
        <v>164</v>
      </c>
      <c r="N37" s="122">
        <v>25000</v>
      </c>
      <c r="O37" s="118" t="s">
        <v>184</v>
      </c>
      <c r="P37" s="122">
        <v>25000</v>
      </c>
      <c r="Q37" s="118" t="s">
        <v>187</v>
      </c>
      <c r="R37" s="122">
        <v>25000</v>
      </c>
      <c r="S37" s="118" t="s">
        <v>197</v>
      </c>
      <c r="T37" s="122">
        <v>25000</v>
      </c>
      <c r="U37" s="118" t="s">
        <v>199</v>
      </c>
      <c r="V37" s="122">
        <v>25000</v>
      </c>
      <c r="W37" s="118" t="s">
        <v>203</v>
      </c>
      <c r="X37" s="122">
        <v>25000</v>
      </c>
      <c r="Y37" s="118" t="s">
        <v>207</v>
      </c>
      <c r="Z37" s="122">
        <v>25000</v>
      </c>
      <c r="AA37" s="118" t="s">
        <v>41</v>
      </c>
      <c r="AB37" s="125">
        <v>25000</v>
      </c>
    </row>
    <row r="38" spans="1:30" x14ac:dyDescent="0.4">
      <c r="A38" s="112" t="s">
        <v>198</v>
      </c>
      <c r="B38" s="112" t="s">
        <v>200</v>
      </c>
      <c r="C38" s="112">
        <v>25000</v>
      </c>
      <c r="E38" s="119" t="s">
        <v>155</v>
      </c>
      <c r="F38" s="123">
        <v>25000</v>
      </c>
      <c r="G38" s="120"/>
      <c r="H38" s="123"/>
      <c r="I38" s="120" t="s">
        <v>158</v>
      </c>
      <c r="J38" s="123">
        <v>25000</v>
      </c>
      <c r="K38" s="120" t="s">
        <v>37</v>
      </c>
      <c r="L38" s="123">
        <v>25000</v>
      </c>
      <c r="M38" s="120" t="s">
        <v>165</v>
      </c>
      <c r="N38" s="123">
        <v>25000</v>
      </c>
      <c r="O38" s="120" t="s">
        <v>185</v>
      </c>
      <c r="P38" s="123">
        <v>25000</v>
      </c>
      <c r="Q38" s="120" t="s">
        <v>188</v>
      </c>
      <c r="R38" s="123">
        <v>25000</v>
      </c>
      <c r="S38" s="120"/>
      <c r="T38" s="123"/>
      <c r="U38" s="120" t="s">
        <v>200</v>
      </c>
      <c r="V38" s="123">
        <v>25000</v>
      </c>
      <c r="W38" s="120" t="s">
        <v>204</v>
      </c>
      <c r="X38" s="123">
        <v>25000</v>
      </c>
      <c r="Y38" s="120" t="s">
        <v>208</v>
      </c>
      <c r="Z38" s="123">
        <v>25000</v>
      </c>
      <c r="AA38" s="120" t="s">
        <v>42</v>
      </c>
      <c r="AB38" s="126">
        <v>25000</v>
      </c>
    </row>
    <row r="39" spans="1:30" x14ac:dyDescent="0.4">
      <c r="A39" s="112" t="s">
        <v>198</v>
      </c>
      <c r="B39" s="112" t="s">
        <v>201</v>
      </c>
      <c r="C39" s="112">
        <v>25000</v>
      </c>
      <c r="E39" s="119"/>
      <c r="F39" s="123"/>
      <c r="G39" s="120"/>
      <c r="H39" s="123"/>
      <c r="I39" s="120" t="s">
        <v>159</v>
      </c>
      <c r="J39" s="123">
        <v>25000</v>
      </c>
      <c r="K39" s="120"/>
      <c r="L39" s="123"/>
      <c r="M39" s="120" t="s">
        <v>166</v>
      </c>
      <c r="N39" s="123">
        <v>25000</v>
      </c>
      <c r="O39" s="120" t="s">
        <v>186</v>
      </c>
      <c r="P39" s="123">
        <v>25000</v>
      </c>
      <c r="Q39" s="120" t="s">
        <v>189</v>
      </c>
      <c r="R39" s="123">
        <v>25000</v>
      </c>
      <c r="S39" s="120"/>
      <c r="T39" s="123"/>
      <c r="U39" s="120" t="s">
        <v>201</v>
      </c>
      <c r="V39" s="123">
        <v>25000</v>
      </c>
      <c r="W39" s="120" t="s">
        <v>205</v>
      </c>
      <c r="X39" s="123">
        <v>25000</v>
      </c>
      <c r="Y39" s="120"/>
      <c r="Z39" s="123"/>
      <c r="AA39" s="120" t="s">
        <v>43</v>
      </c>
      <c r="AB39" s="126">
        <v>25000</v>
      </c>
    </row>
    <row r="40" spans="1:30" x14ac:dyDescent="0.4">
      <c r="A40" s="112" t="s">
        <v>202</v>
      </c>
      <c r="B40" s="112" t="s">
        <v>203</v>
      </c>
      <c r="C40" s="112">
        <v>25000</v>
      </c>
      <c r="E40" s="119"/>
      <c r="F40" s="123"/>
      <c r="G40" s="120"/>
      <c r="H40" s="123"/>
      <c r="I40" s="120" t="s">
        <v>160</v>
      </c>
      <c r="J40" s="123">
        <v>25000</v>
      </c>
      <c r="K40" s="120"/>
      <c r="L40" s="123"/>
      <c r="M40" s="120" t="s">
        <v>57</v>
      </c>
      <c r="N40" s="123">
        <v>25000</v>
      </c>
      <c r="O40" s="120"/>
      <c r="P40" s="123"/>
      <c r="Q40" s="120" t="s">
        <v>190</v>
      </c>
      <c r="R40" s="123">
        <v>25000</v>
      </c>
      <c r="S40" s="120"/>
      <c r="T40" s="123"/>
      <c r="U40" s="120"/>
      <c r="V40" s="123"/>
      <c r="W40" s="120"/>
      <c r="X40" s="123"/>
      <c r="Y40" s="120"/>
      <c r="Z40" s="123"/>
      <c r="AA40" s="120" t="s">
        <v>44</v>
      </c>
      <c r="AB40" s="126">
        <v>25000</v>
      </c>
    </row>
    <row r="41" spans="1:30" x14ac:dyDescent="0.4">
      <c r="A41" s="112" t="s">
        <v>202</v>
      </c>
      <c r="B41" s="112" t="s">
        <v>204</v>
      </c>
      <c r="C41" s="112">
        <v>25000</v>
      </c>
      <c r="E41" s="119"/>
      <c r="F41" s="123"/>
      <c r="G41" s="120"/>
      <c r="H41" s="123"/>
      <c r="I41" s="120" t="s">
        <v>161</v>
      </c>
      <c r="J41" s="123">
        <v>25000</v>
      </c>
      <c r="K41" s="120"/>
      <c r="L41" s="123"/>
      <c r="M41" s="120" t="s">
        <v>167</v>
      </c>
      <c r="N41" s="123">
        <v>25000</v>
      </c>
      <c r="O41" s="120"/>
      <c r="P41" s="123"/>
      <c r="Q41" s="120" t="s">
        <v>191</v>
      </c>
      <c r="R41" s="123">
        <v>25000</v>
      </c>
      <c r="S41" s="120"/>
      <c r="T41" s="123"/>
      <c r="U41" s="120"/>
      <c r="V41" s="123"/>
      <c r="W41" s="120"/>
      <c r="X41" s="123"/>
      <c r="Y41" s="120"/>
      <c r="Z41" s="123"/>
      <c r="AA41" s="120" t="s">
        <v>45</v>
      </c>
      <c r="AB41" s="126">
        <v>25000</v>
      </c>
    </row>
    <row r="42" spans="1:30" x14ac:dyDescent="0.4">
      <c r="A42" s="112" t="s">
        <v>202</v>
      </c>
      <c r="B42" s="112" t="s">
        <v>205</v>
      </c>
      <c r="C42" s="112">
        <v>25000</v>
      </c>
      <c r="E42" s="119"/>
      <c r="F42" s="123"/>
      <c r="G42" s="120"/>
      <c r="H42" s="123"/>
      <c r="I42" s="120" t="s">
        <v>162</v>
      </c>
      <c r="J42" s="123">
        <v>25000</v>
      </c>
      <c r="K42" s="120"/>
      <c r="L42" s="123"/>
      <c r="M42" s="120" t="s">
        <v>168</v>
      </c>
      <c r="N42" s="123">
        <v>25000</v>
      </c>
      <c r="O42" s="120"/>
      <c r="P42" s="123"/>
      <c r="Q42" s="120" t="s">
        <v>192</v>
      </c>
      <c r="R42" s="123">
        <v>25000</v>
      </c>
      <c r="S42" s="120"/>
      <c r="T42" s="123"/>
      <c r="U42" s="120"/>
      <c r="V42" s="123"/>
      <c r="W42" s="120"/>
      <c r="X42" s="123"/>
      <c r="Y42" s="120"/>
      <c r="Z42" s="123"/>
      <c r="AA42" s="120" t="s">
        <v>46</v>
      </c>
      <c r="AB42" s="126">
        <v>25000</v>
      </c>
    </row>
    <row r="43" spans="1:30" x14ac:dyDescent="0.4">
      <c r="A43" s="112" t="s">
        <v>206</v>
      </c>
      <c r="B43" s="112" t="s">
        <v>207</v>
      </c>
      <c r="C43" s="112">
        <v>25000</v>
      </c>
      <c r="E43" s="119"/>
      <c r="F43" s="123"/>
      <c r="G43" s="120"/>
      <c r="H43" s="123"/>
      <c r="I43" s="120"/>
      <c r="J43" s="123"/>
      <c r="K43" s="120"/>
      <c r="L43" s="123"/>
      <c r="M43" s="120" t="s">
        <v>169</v>
      </c>
      <c r="N43" s="123">
        <v>25000</v>
      </c>
      <c r="O43" s="120"/>
      <c r="P43" s="123"/>
      <c r="Q43" s="120" t="s">
        <v>193</v>
      </c>
      <c r="R43" s="123">
        <v>25000</v>
      </c>
      <c r="S43" s="120"/>
      <c r="T43" s="123"/>
      <c r="U43" s="120"/>
      <c r="V43" s="123"/>
      <c r="W43" s="120"/>
      <c r="X43" s="123"/>
      <c r="Y43" s="120"/>
      <c r="Z43" s="123"/>
      <c r="AA43" s="120" t="s">
        <v>47</v>
      </c>
      <c r="AB43" s="126">
        <v>25000</v>
      </c>
    </row>
    <row r="44" spans="1:30" x14ac:dyDescent="0.4">
      <c r="A44" s="112" t="s">
        <v>206</v>
      </c>
      <c r="B44" s="112" t="s">
        <v>208</v>
      </c>
      <c r="C44" s="112">
        <v>25000</v>
      </c>
      <c r="E44" s="119"/>
      <c r="F44" s="123"/>
      <c r="G44" s="120"/>
      <c r="H44" s="123"/>
      <c r="I44" s="120"/>
      <c r="J44" s="123"/>
      <c r="K44" s="120"/>
      <c r="L44" s="123"/>
      <c r="M44" s="120" t="s">
        <v>170</v>
      </c>
      <c r="N44" s="123">
        <v>25000</v>
      </c>
      <c r="O44" s="120"/>
      <c r="P44" s="123"/>
      <c r="Q44" s="120" t="s">
        <v>34</v>
      </c>
      <c r="R44" s="123">
        <v>25000</v>
      </c>
      <c r="S44" s="120"/>
      <c r="T44" s="123"/>
      <c r="U44" s="120"/>
      <c r="V44" s="123"/>
      <c r="W44" s="120"/>
      <c r="X44" s="123"/>
      <c r="Y44" s="120"/>
      <c r="Z44" s="123"/>
      <c r="AA44" s="120" t="s">
        <v>49</v>
      </c>
      <c r="AB44" s="126">
        <v>25000</v>
      </c>
    </row>
    <row r="45" spans="1:30" x14ac:dyDescent="0.4">
      <c r="A45" s="112" t="s">
        <v>40</v>
      </c>
      <c r="B45" s="112" t="s">
        <v>41</v>
      </c>
      <c r="C45" s="112">
        <v>25000</v>
      </c>
      <c r="E45" s="119"/>
      <c r="F45" s="123"/>
      <c r="G45" s="120"/>
      <c r="H45" s="123"/>
      <c r="I45" s="120"/>
      <c r="J45" s="123"/>
      <c r="K45" s="120"/>
      <c r="L45" s="123"/>
      <c r="M45" s="120"/>
      <c r="N45" s="123"/>
      <c r="O45" s="120"/>
      <c r="P45" s="123"/>
      <c r="Q45" s="120" t="s">
        <v>33</v>
      </c>
      <c r="R45" s="123">
        <v>25000</v>
      </c>
      <c r="S45" s="120"/>
      <c r="T45" s="123"/>
      <c r="U45" s="120"/>
      <c r="V45" s="123"/>
      <c r="W45" s="120"/>
      <c r="X45" s="123"/>
      <c r="Y45" s="120"/>
      <c r="Z45" s="123"/>
      <c r="AA45" s="120" t="s">
        <v>48</v>
      </c>
      <c r="AB45" s="126">
        <v>25000</v>
      </c>
    </row>
    <row r="46" spans="1:30" x14ac:dyDescent="0.4">
      <c r="A46" s="112" t="s">
        <v>40</v>
      </c>
      <c r="B46" s="112" t="s">
        <v>42</v>
      </c>
      <c r="C46" s="112">
        <v>25000</v>
      </c>
      <c r="E46" s="119"/>
      <c r="F46" s="123"/>
      <c r="G46" s="120"/>
      <c r="H46" s="123"/>
      <c r="I46" s="120"/>
      <c r="J46" s="123"/>
      <c r="K46" s="120"/>
      <c r="L46" s="123"/>
      <c r="M46" s="120"/>
      <c r="N46" s="123"/>
      <c r="O46" s="120"/>
      <c r="P46" s="123"/>
      <c r="Q46" s="120" t="s">
        <v>194</v>
      </c>
      <c r="R46" s="123">
        <v>25000</v>
      </c>
      <c r="S46" s="120"/>
      <c r="T46" s="123"/>
      <c r="U46" s="120"/>
      <c r="V46" s="123"/>
      <c r="W46" s="120"/>
      <c r="X46" s="123"/>
      <c r="Y46" s="120"/>
      <c r="Z46" s="123"/>
      <c r="AA46" s="120" t="s">
        <v>50</v>
      </c>
      <c r="AB46" s="126">
        <v>25000</v>
      </c>
    </row>
    <row r="47" spans="1:30" x14ac:dyDescent="0.4">
      <c r="A47" s="112" t="s">
        <v>40</v>
      </c>
      <c r="B47" s="112" t="s">
        <v>43</v>
      </c>
      <c r="C47" s="112">
        <v>25000</v>
      </c>
      <c r="E47" s="119"/>
      <c r="F47" s="123"/>
      <c r="G47" s="120"/>
      <c r="H47" s="123"/>
      <c r="I47" s="120"/>
      <c r="J47" s="123"/>
      <c r="K47" s="120"/>
      <c r="L47" s="123"/>
      <c r="M47" s="120"/>
      <c r="N47" s="123"/>
      <c r="O47" s="120"/>
      <c r="P47" s="123"/>
      <c r="Q47" s="120" t="s">
        <v>195</v>
      </c>
      <c r="R47" s="123">
        <v>25000</v>
      </c>
      <c r="S47" s="120"/>
      <c r="T47" s="123"/>
      <c r="U47" s="120"/>
      <c r="V47" s="123"/>
      <c r="W47" s="120"/>
      <c r="X47" s="123"/>
      <c r="Y47" s="120"/>
      <c r="Z47" s="123"/>
      <c r="AA47" s="120" t="s">
        <v>51</v>
      </c>
      <c r="AB47" s="126">
        <v>25000</v>
      </c>
    </row>
    <row r="48" spans="1:30" x14ac:dyDescent="0.4">
      <c r="A48" s="112" t="s">
        <v>40</v>
      </c>
      <c r="B48" s="112" t="s">
        <v>44</v>
      </c>
      <c r="C48" s="112">
        <v>25000</v>
      </c>
      <c r="E48" s="119"/>
      <c r="F48" s="123"/>
      <c r="G48" s="120"/>
      <c r="H48" s="123"/>
      <c r="I48" s="120"/>
      <c r="J48" s="123"/>
      <c r="K48" s="120"/>
      <c r="L48" s="123"/>
      <c r="M48" s="120"/>
      <c r="N48" s="123"/>
      <c r="O48" s="120"/>
      <c r="P48" s="123"/>
      <c r="Q48" s="120" t="s">
        <v>196</v>
      </c>
      <c r="R48" s="123">
        <v>25000</v>
      </c>
      <c r="S48" s="120"/>
      <c r="T48" s="123"/>
      <c r="U48" s="120"/>
      <c r="V48" s="123"/>
      <c r="W48" s="120"/>
      <c r="X48" s="123"/>
      <c r="Y48" s="120"/>
      <c r="Z48" s="123"/>
      <c r="AA48" s="120"/>
      <c r="AB48" s="126"/>
    </row>
    <row r="49" spans="1:28" x14ac:dyDescent="0.4">
      <c r="A49" s="112" t="s">
        <v>40</v>
      </c>
      <c r="B49" s="112" t="s">
        <v>45</v>
      </c>
      <c r="C49" s="112">
        <v>25000</v>
      </c>
      <c r="E49" s="119"/>
      <c r="F49" s="123"/>
      <c r="G49" s="120"/>
      <c r="H49" s="123"/>
      <c r="I49" s="120"/>
      <c r="J49" s="123"/>
      <c r="K49" s="120"/>
      <c r="L49" s="123"/>
      <c r="M49" s="120"/>
      <c r="N49" s="123"/>
      <c r="O49" s="120"/>
      <c r="P49" s="123"/>
      <c r="Q49" s="120" t="s">
        <v>39</v>
      </c>
      <c r="R49" s="123">
        <v>25000</v>
      </c>
      <c r="S49" s="120"/>
      <c r="T49" s="123"/>
      <c r="U49" s="120"/>
      <c r="V49" s="123"/>
      <c r="W49" s="120"/>
      <c r="X49" s="123"/>
      <c r="Y49" s="120"/>
      <c r="Z49" s="123"/>
      <c r="AA49" s="120"/>
      <c r="AB49" s="126"/>
    </row>
    <row r="50" spans="1:28" x14ac:dyDescent="0.4">
      <c r="A50" s="112" t="s">
        <v>40</v>
      </c>
      <c r="B50" s="112" t="s">
        <v>46</v>
      </c>
      <c r="C50" s="112">
        <v>25000</v>
      </c>
      <c r="E50" s="113"/>
      <c r="F50" s="124"/>
      <c r="G50" s="114"/>
      <c r="H50" s="124"/>
      <c r="I50" s="114"/>
      <c r="J50" s="124"/>
      <c r="K50" s="114"/>
      <c r="L50" s="124"/>
      <c r="M50" s="114"/>
      <c r="N50" s="124"/>
      <c r="O50" s="114"/>
      <c r="P50" s="124"/>
      <c r="Q50" s="114"/>
      <c r="R50" s="124"/>
      <c r="S50" s="114"/>
      <c r="T50" s="124"/>
      <c r="U50" s="114"/>
      <c r="V50" s="124"/>
      <c r="W50" s="114"/>
      <c r="X50" s="124"/>
      <c r="Y50" s="114"/>
      <c r="Z50" s="124"/>
      <c r="AA50" s="114"/>
      <c r="AB50" s="127"/>
    </row>
    <row r="51" spans="1:28" x14ac:dyDescent="0.4">
      <c r="A51" s="112" t="s">
        <v>40</v>
      </c>
      <c r="B51" s="112" t="s">
        <v>47</v>
      </c>
      <c r="C51" s="112">
        <v>25000</v>
      </c>
    </row>
    <row r="52" spans="1:28" x14ac:dyDescent="0.4">
      <c r="A52" s="112" t="s">
        <v>40</v>
      </c>
      <c r="B52" s="112" t="s">
        <v>49</v>
      </c>
      <c r="C52" s="112">
        <v>25000</v>
      </c>
    </row>
    <row r="53" spans="1:28" x14ac:dyDescent="0.4">
      <c r="A53" s="112" t="s">
        <v>40</v>
      </c>
      <c r="B53" s="112" t="s">
        <v>48</v>
      </c>
      <c r="C53" s="112">
        <v>25000</v>
      </c>
    </row>
    <row r="54" spans="1:28" x14ac:dyDescent="0.4">
      <c r="A54" s="112" t="s">
        <v>40</v>
      </c>
      <c r="B54" s="112" t="s">
        <v>50</v>
      </c>
      <c r="C54" s="112">
        <v>25000</v>
      </c>
    </row>
    <row r="55" spans="1:28" x14ac:dyDescent="0.4">
      <c r="A55" s="112" t="s">
        <v>40</v>
      </c>
      <c r="B55" s="112" t="s">
        <v>51</v>
      </c>
      <c r="C55" s="112">
        <v>25000</v>
      </c>
    </row>
    <row r="56" spans="1:28" x14ac:dyDescent="0.4">
      <c r="B56" s="112" t="s">
        <v>218</v>
      </c>
    </row>
    <row r="57" spans="1:28" x14ac:dyDescent="0.4">
      <c r="B57" s="112" t="s">
        <v>219</v>
      </c>
    </row>
    <row r="58" spans="1:28" x14ac:dyDescent="0.4">
      <c r="B58" s="112" t="s">
        <v>220</v>
      </c>
    </row>
    <row r="59" spans="1:28" x14ac:dyDescent="0.4">
      <c r="B59" s="112" t="s">
        <v>221</v>
      </c>
    </row>
    <row r="60" spans="1:28" x14ac:dyDescent="0.4">
      <c r="B60" s="112" t="s">
        <v>222</v>
      </c>
    </row>
    <row r="61" spans="1:28" x14ac:dyDescent="0.4">
      <c r="B61" s="112" t="s">
        <v>223</v>
      </c>
    </row>
    <row r="62" spans="1:28" x14ac:dyDescent="0.4">
      <c r="B62" s="112" t="s">
        <v>224</v>
      </c>
    </row>
    <row r="63" spans="1:28" x14ac:dyDescent="0.4">
      <c r="B63" s="112" t="s">
        <v>225</v>
      </c>
    </row>
    <row r="64" spans="1:28" x14ac:dyDescent="0.4">
      <c r="B64" s="112" t="s">
        <v>226</v>
      </c>
    </row>
    <row r="65" spans="2:2" x14ac:dyDescent="0.4">
      <c r="B65" s="112" t="s">
        <v>227</v>
      </c>
    </row>
    <row r="66" spans="2:2" x14ac:dyDescent="0.4">
      <c r="B66" s="112" t="s">
        <v>228</v>
      </c>
    </row>
    <row r="67" spans="2:2" x14ac:dyDescent="0.4">
      <c r="B67" s="112" t="s">
        <v>229</v>
      </c>
    </row>
    <row r="68" spans="2:2" x14ac:dyDescent="0.4">
      <c r="B68" s="112" t="s">
        <v>230</v>
      </c>
    </row>
    <row r="69" spans="2:2" x14ac:dyDescent="0.4">
      <c r="B69" s="112" t="s">
        <v>231</v>
      </c>
    </row>
    <row r="70" spans="2:2" x14ac:dyDescent="0.4">
      <c r="B70" s="112" t="s">
        <v>232</v>
      </c>
    </row>
    <row r="71" spans="2:2" x14ac:dyDescent="0.4">
      <c r="B71" s="112" t="s">
        <v>233</v>
      </c>
    </row>
    <row r="72" spans="2:2" x14ac:dyDescent="0.4">
      <c r="B72" s="112" t="s">
        <v>234</v>
      </c>
    </row>
    <row r="73" spans="2:2" x14ac:dyDescent="0.4">
      <c r="B73" s="112" t="s">
        <v>235</v>
      </c>
    </row>
    <row r="74" spans="2:2" x14ac:dyDescent="0.4">
      <c r="B74" s="112" t="s">
        <v>236</v>
      </c>
    </row>
    <row r="75" spans="2:2" x14ac:dyDescent="0.4">
      <c r="B75" s="112" t="s">
        <v>237</v>
      </c>
    </row>
    <row r="76" spans="2:2" x14ac:dyDescent="0.4">
      <c r="B76" s="112" t="s">
        <v>238</v>
      </c>
    </row>
    <row r="77" spans="2:2" x14ac:dyDescent="0.4">
      <c r="B77" s="112" t="s">
        <v>239</v>
      </c>
    </row>
    <row r="78" spans="2:2" x14ac:dyDescent="0.4">
      <c r="B78" s="112" t="s">
        <v>240</v>
      </c>
    </row>
    <row r="79" spans="2:2" x14ac:dyDescent="0.4">
      <c r="B79" s="112" t="s">
        <v>241</v>
      </c>
    </row>
    <row r="80" spans="2:2" x14ac:dyDescent="0.4">
      <c r="B80" s="112" t="s">
        <v>242</v>
      </c>
    </row>
    <row r="81" spans="2:2" x14ac:dyDescent="0.4">
      <c r="B81" s="112" t="s">
        <v>243</v>
      </c>
    </row>
    <row r="82" spans="2:2" x14ac:dyDescent="0.4">
      <c r="B82" s="112" t="s">
        <v>244</v>
      </c>
    </row>
    <row r="83" spans="2:2" x14ac:dyDescent="0.4">
      <c r="B83" s="112" t="s">
        <v>245</v>
      </c>
    </row>
    <row r="84" spans="2:2" x14ac:dyDescent="0.4">
      <c r="B84" s="112" t="s">
        <v>246</v>
      </c>
    </row>
    <row r="85" spans="2:2" x14ac:dyDescent="0.4">
      <c r="B85" s="112" t="s">
        <v>247</v>
      </c>
    </row>
    <row r="86" spans="2:2" x14ac:dyDescent="0.4">
      <c r="B86" s="112" t="s">
        <v>248</v>
      </c>
    </row>
    <row r="87" spans="2:2" x14ac:dyDescent="0.4">
      <c r="B87" s="112" t="s">
        <v>249</v>
      </c>
    </row>
    <row r="88" spans="2:2" x14ac:dyDescent="0.4">
      <c r="B88" s="112" t="s">
        <v>250</v>
      </c>
    </row>
    <row r="89" spans="2:2" x14ac:dyDescent="0.4">
      <c r="B89" s="112" t="s">
        <v>251</v>
      </c>
    </row>
    <row r="90" spans="2:2" x14ac:dyDescent="0.4">
      <c r="B90" s="112" t="s">
        <v>252</v>
      </c>
    </row>
    <row r="91" spans="2:2" x14ac:dyDescent="0.4">
      <c r="B91" s="112" t="s">
        <v>253</v>
      </c>
    </row>
    <row r="92" spans="2:2" x14ac:dyDescent="0.4">
      <c r="B92" s="112" t="s">
        <v>254</v>
      </c>
    </row>
    <row r="93" spans="2:2" x14ac:dyDescent="0.4">
      <c r="B93" s="112" t="s">
        <v>255</v>
      </c>
    </row>
    <row r="94" spans="2:2" x14ac:dyDescent="0.4">
      <c r="B94" s="112" t="s">
        <v>256</v>
      </c>
    </row>
    <row r="95" spans="2:2" x14ac:dyDescent="0.4">
      <c r="B95" s="112" t="s">
        <v>257</v>
      </c>
    </row>
    <row r="96" spans="2:2" x14ac:dyDescent="0.4">
      <c r="B96" s="112" t="s">
        <v>258</v>
      </c>
    </row>
    <row r="97" spans="2:2" x14ac:dyDescent="0.4">
      <c r="B97" s="112" t="s">
        <v>259</v>
      </c>
    </row>
    <row r="98" spans="2:2" x14ac:dyDescent="0.4">
      <c r="B98" s="112" t="s">
        <v>260</v>
      </c>
    </row>
    <row r="99" spans="2:2" x14ac:dyDescent="0.4">
      <c r="B99" s="112" t="s">
        <v>261</v>
      </c>
    </row>
    <row r="100" spans="2:2" x14ac:dyDescent="0.4">
      <c r="B100" s="112" t="s">
        <v>262</v>
      </c>
    </row>
    <row r="101" spans="2:2" x14ac:dyDescent="0.4">
      <c r="B101" s="112" t="s">
        <v>263</v>
      </c>
    </row>
    <row r="102" spans="2:2" x14ac:dyDescent="0.4">
      <c r="B102" s="112" t="s">
        <v>264</v>
      </c>
    </row>
    <row r="103" spans="2:2" x14ac:dyDescent="0.4">
      <c r="B103" s="112" t="s">
        <v>265</v>
      </c>
    </row>
    <row r="104" spans="2:2" x14ac:dyDescent="0.4">
      <c r="B104" s="112" t="s">
        <v>266</v>
      </c>
    </row>
    <row r="105" spans="2:2" x14ac:dyDescent="0.4">
      <c r="B105" s="112" t="s">
        <v>267</v>
      </c>
    </row>
    <row r="106" spans="2:2" x14ac:dyDescent="0.4">
      <c r="B106" s="112" t="s">
        <v>268</v>
      </c>
    </row>
    <row r="107" spans="2:2" x14ac:dyDescent="0.4">
      <c r="B107" s="112" t="s">
        <v>269</v>
      </c>
    </row>
    <row r="108" spans="2:2" x14ac:dyDescent="0.4">
      <c r="B108" s="112" t="s">
        <v>270</v>
      </c>
    </row>
    <row r="109" spans="2:2" x14ac:dyDescent="0.4">
      <c r="B109" s="112" t="s">
        <v>271</v>
      </c>
    </row>
    <row r="110" spans="2:2" x14ac:dyDescent="0.4">
      <c r="B110" s="112" t="s">
        <v>272</v>
      </c>
    </row>
    <row r="111" spans="2:2" x14ac:dyDescent="0.4">
      <c r="B111" s="112" t="s">
        <v>273</v>
      </c>
    </row>
    <row r="112" spans="2:2" x14ac:dyDescent="0.4">
      <c r="B112" s="112" t="s">
        <v>274</v>
      </c>
    </row>
    <row r="113" spans="2:2" x14ac:dyDescent="0.4">
      <c r="B113" s="112" t="s">
        <v>275</v>
      </c>
    </row>
    <row r="114" spans="2:2" x14ac:dyDescent="0.4">
      <c r="B114" s="112" t="s">
        <v>276</v>
      </c>
    </row>
    <row r="115" spans="2:2" x14ac:dyDescent="0.4">
      <c r="B115" s="112" t="s">
        <v>277</v>
      </c>
    </row>
    <row r="116" spans="2:2" x14ac:dyDescent="0.4">
      <c r="B116" s="112" t="s">
        <v>278</v>
      </c>
    </row>
    <row r="117" spans="2:2" x14ac:dyDescent="0.4">
      <c r="B117" s="112" t="s">
        <v>279</v>
      </c>
    </row>
    <row r="118" spans="2:2" x14ac:dyDescent="0.4">
      <c r="B118" s="112" t="s">
        <v>280</v>
      </c>
    </row>
    <row r="119" spans="2:2" x14ac:dyDescent="0.4">
      <c r="B119" s="112" t="s">
        <v>281</v>
      </c>
    </row>
    <row r="120" spans="2:2" x14ac:dyDescent="0.4">
      <c r="B120" s="112" t="s">
        <v>282</v>
      </c>
    </row>
    <row r="121" spans="2:2" x14ac:dyDescent="0.4">
      <c r="B121" s="112" t="s">
        <v>283</v>
      </c>
    </row>
    <row r="122" spans="2:2" x14ac:dyDescent="0.4">
      <c r="B122" s="112" t="s">
        <v>284</v>
      </c>
    </row>
    <row r="123" spans="2:2" x14ac:dyDescent="0.4">
      <c r="B123" s="112" t="s">
        <v>285</v>
      </c>
    </row>
    <row r="124" spans="2:2" x14ac:dyDescent="0.4">
      <c r="B124" s="112" t="s">
        <v>286</v>
      </c>
    </row>
    <row r="125" spans="2:2" x14ac:dyDescent="0.4">
      <c r="B125" s="112" t="s">
        <v>287</v>
      </c>
    </row>
    <row r="126" spans="2:2" x14ac:dyDescent="0.4">
      <c r="B126" s="112" t="s">
        <v>288</v>
      </c>
    </row>
    <row r="127" spans="2:2" x14ac:dyDescent="0.4">
      <c r="B127" s="112" t="s">
        <v>289</v>
      </c>
    </row>
    <row r="128" spans="2:2" x14ac:dyDescent="0.4">
      <c r="B128" s="112" t="s">
        <v>290</v>
      </c>
    </row>
    <row r="129" spans="2:2" x14ac:dyDescent="0.4">
      <c r="B129" s="112" t="s">
        <v>291</v>
      </c>
    </row>
    <row r="130" spans="2:2" x14ac:dyDescent="0.4">
      <c r="B130" s="112" t="s">
        <v>292</v>
      </c>
    </row>
    <row r="131" spans="2:2" x14ac:dyDescent="0.4">
      <c r="B131" s="112" t="s">
        <v>293</v>
      </c>
    </row>
    <row r="132" spans="2:2" x14ac:dyDescent="0.4">
      <c r="B132" s="112" t="s">
        <v>294</v>
      </c>
    </row>
    <row r="133" spans="2:2" x14ac:dyDescent="0.4">
      <c r="B133" s="112" t="s">
        <v>295</v>
      </c>
    </row>
    <row r="134" spans="2:2" x14ac:dyDescent="0.4">
      <c r="B134" s="112" t="s">
        <v>296</v>
      </c>
    </row>
    <row r="135" spans="2:2" x14ac:dyDescent="0.4">
      <c r="B135" s="112" t="s">
        <v>297</v>
      </c>
    </row>
    <row r="136" spans="2:2" x14ac:dyDescent="0.4">
      <c r="B136" s="112" t="s">
        <v>298</v>
      </c>
    </row>
    <row r="137" spans="2:2" x14ac:dyDescent="0.4">
      <c r="B137" s="112" t="s">
        <v>299</v>
      </c>
    </row>
    <row r="138" spans="2:2" x14ac:dyDescent="0.4">
      <c r="B138" s="112" t="s">
        <v>300</v>
      </c>
    </row>
    <row r="139" spans="2:2" x14ac:dyDescent="0.4">
      <c r="B139" s="112" t="s">
        <v>301</v>
      </c>
    </row>
    <row r="140" spans="2:2" x14ac:dyDescent="0.4">
      <c r="B140" s="112" t="s">
        <v>302</v>
      </c>
    </row>
    <row r="141" spans="2:2" x14ac:dyDescent="0.4">
      <c r="B141" s="112" t="s">
        <v>303</v>
      </c>
    </row>
    <row r="142" spans="2:2" x14ac:dyDescent="0.4">
      <c r="B142" s="112" t="s">
        <v>304</v>
      </c>
    </row>
    <row r="143" spans="2:2" x14ac:dyDescent="0.4">
      <c r="B143" s="112" t="s">
        <v>305</v>
      </c>
    </row>
    <row r="144" spans="2:2" x14ac:dyDescent="0.4">
      <c r="B144" s="112" t="s">
        <v>306</v>
      </c>
    </row>
    <row r="145" spans="2:2" x14ac:dyDescent="0.4">
      <c r="B145" s="112" t="s">
        <v>307</v>
      </c>
    </row>
    <row r="167" spans="5:5" x14ac:dyDescent="0.4">
      <c r="E167" s="112" t="s">
        <v>172</v>
      </c>
    </row>
    <row r="168" spans="5:5" x14ac:dyDescent="0.4">
      <c r="E168" s="112" t="s">
        <v>174</v>
      </c>
    </row>
    <row r="169" spans="5:5" x14ac:dyDescent="0.4">
      <c r="E169" s="112" t="s">
        <v>175</v>
      </c>
    </row>
    <row r="170" spans="5:5" x14ac:dyDescent="0.4">
      <c r="E170" s="112" t="s">
        <v>176</v>
      </c>
    </row>
    <row r="171" spans="5:5" x14ac:dyDescent="0.4">
      <c r="E171" s="112" t="s">
        <v>177</v>
      </c>
    </row>
    <row r="172" spans="5:5" x14ac:dyDescent="0.4">
      <c r="E172" s="112" t="s">
        <v>180</v>
      </c>
    </row>
    <row r="173" spans="5:5" x14ac:dyDescent="0.4">
      <c r="E173" s="112" t="s">
        <v>181</v>
      </c>
    </row>
    <row r="174" spans="5:5" x14ac:dyDescent="0.4">
      <c r="E174" s="112" t="s">
        <v>182</v>
      </c>
    </row>
    <row r="175" spans="5:5" x14ac:dyDescent="0.4">
      <c r="E175" s="112" t="s">
        <v>171</v>
      </c>
    </row>
    <row r="176" spans="5:5" x14ac:dyDescent="0.4">
      <c r="E176" s="112" t="s">
        <v>173</v>
      </c>
    </row>
    <row r="177" spans="5:5" x14ac:dyDescent="0.4">
      <c r="E177" s="112" t="s">
        <v>178</v>
      </c>
    </row>
    <row r="178" spans="5:5" x14ac:dyDescent="0.4">
      <c r="E178" s="112" t="s">
        <v>179</v>
      </c>
    </row>
  </sheetData>
  <mergeCells count="25">
    <mergeCell ref="W6:X6"/>
    <mergeCell ref="Y6:Z6"/>
    <mergeCell ref="AA6:AB6"/>
    <mergeCell ref="E6:F6"/>
    <mergeCell ref="G6:H6"/>
    <mergeCell ref="I6:J6"/>
    <mergeCell ref="K6:L6"/>
    <mergeCell ref="M6:N6"/>
    <mergeCell ref="O6:P6"/>
    <mergeCell ref="W35:X35"/>
    <mergeCell ref="Y35:Z35"/>
    <mergeCell ref="AA35:AB35"/>
    <mergeCell ref="AC6:AD6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Q6:R6"/>
    <mergeCell ref="S6:T6"/>
    <mergeCell ref="U6:V6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단품리스트</vt:lpstr>
      <vt:lpstr>동시리스트</vt:lpstr>
      <vt:lpstr>하이라이트 플러스 (2)</vt:lpstr>
      <vt:lpstr>단품리스트!Print_Area</vt:lpstr>
      <vt:lpstr>동시리스트!Print_Area</vt:lpstr>
      <vt:lpstr>단품리스트!Print_Titles</vt:lpstr>
      <vt:lpstr>동시리스트!Print_Titles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이하영</dc:creator>
  <cp:lastModifiedBy>김민정</cp:lastModifiedBy>
  <cp:lastPrinted>2023-05-31T09:09:02Z</cp:lastPrinted>
  <dcterms:created xsi:type="dcterms:W3CDTF">2022-05-03T07:49:58Z</dcterms:created>
  <dcterms:modified xsi:type="dcterms:W3CDTF">2026-07-31T08:41:15Z</dcterms:modified>
</cp:coreProperties>
</file>