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U:\그로스마케팅팀2_금융판촉\1. 금융판촉팀\0. 금융판촉 업무연락 공지용\2026년 공문\8월\"/>
    </mc:Choice>
  </mc:AlternateContent>
  <xr:revisionPtr revIDLastSave="0" documentId="8_{1FC6E1D2-F8B7-4EA3-9C08-25508DE95136}" xr6:coauthVersionLast="47" xr6:coauthVersionMax="47" xr10:uidLastSave="{00000000-0000-0000-0000-000000000000}"/>
  <bookViews>
    <workbookView xWindow="-120" yWindow="-120" windowWidth="38640" windowHeight="15720" tabRatio="887" activeTab="6" xr2:uid="{00000000-000D-0000-FFFF-FFFF00000000}"/>
  </bookViews>
  <sheets>
    <sheet name="①가전(단품)" sheetId="3" r:id="rId1"/>
    <sheet name="②가전(동시구매)_A" sheetId="101" r:id="rId2"/>
    <sheet name="②가전(동시구매)_B" sheetId="102" r:id="rId3"/>
    <sheet name="②가전(동시구매)_C" sheetId="96" r:id="rId4"/>
    <sheet name="②가전(동시구매)_D" sheetId="97" r:id="rId5"/>
    <sheet name="②가전(동시구매)_E" sheetId="103" r:id="rId6"/>
    <sheet name="③삼성스마트패키지 (L.Point)" sheetId="106" r:id="rId7"/>
    <sheet name="④의류케어 다품목B " sheetId="80" r:id="rId8"/>
    <sheet name="⑥냉+김냉 패키지" sheetId="99" r:id="rId9"/>
  </sheets>
  <definedNames>
    <definedName name="_xlnm._FilterDatabase" localSheetId="0" hidden="1">'①가전(단품)'!#REF!</definedName>
    <definedName name="_xlnm._FilterDatabase" localSheetId="1" hidden="1">'②가전(동시구매)_A'!$A$75:$AB$444</definedName>
    <definedName name="_xlnm._FilterDatabase" localSheetId="3" hidden="1">'②가전(동시구매)_C'!$A$7:$V$502</definedName>
    <definedName name="_xlnm._FilterDatabase" localSheetId="4" hidden="1">'②가전(동시구매)_D'!#REF!</definedName>
    <definedName name="_xlnm._FilterDatabase" localSheetId="6" hidden="1">'③삼성스마트패키지 (L.Point)'!$A$21:$U$21</definedName>
    <definedName name="_xlnm._FilterDatabase" localSheetId="7" hidden="1">'④의류케어 다품목B '!$A$20:$V$149</definedName>
    <definedName name="_xlnm._FilterDatabase" localSheetId="8" hidden="1">'⑥냉+김냉 패키지'!$I$4:$M$121</definedName>
    <definedName name="_xlnm.Print_Area" localSheetId="0">'①가전(단품)'!$B$1:$H$5</definedName>
    <definedName name="_xlnm.Print_Area" localSheetId="1">'②가전(동시구매)_A'!#REF!</definedName>
    <definedName name="_xlnm.Print_Area" localSheetId="2">'②가전(동시구매)_B'!#REF!</definedName>
    <definedName name="_xlnm.Print_Area" localSheetId="4">'②가전(동시구매)_D'!#REF!</definedName>
    <definedName name="_xlnm.Print_Area" localSheetId="5">'②가전(동시구매)_E'!#REF!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01" i="96" l="1"/>
  <c r="T500" i="96"/>
  <c r="T499" i="96"/>
  <c r="T498" i="96"/>
  <c r="T497" i="96"/>
  <c r="T496" i="96"/>
  <c r="T495" i="96"/>
  <c r="T494" i="96"/>
  <c r="T493" i="96"/>
  <c r="T492" i="96"/>
  <c r="T491" i="96"/>
  <c r="T490" i="96"/>
  <c r="T489" i="96"/>
  <c r="T488" i="96"/>
  <c r="T487" i="96"/>
  <c r="T486" i="96"/>
  <c r="T485" i="96"/>
  <c r="T484" i="96"/>
  <c r="T483" i="96"/>
  <c r="T482" i="96"/>
  <c r="T481" i="96"/>
  <c r="T480" i="96"/>
  <c r="T479" i="96"/>
  <c r="T478" i="96"/>
  <c r="T477" i="96"/>
  <c r="T476" i="96"/>
  <c r="T475" i="96"/>
  <c r="T474" i="96"/>
  <c r="T473" i="96"/>
  <c r="T472" i="96"/>
  <c r="T471" i="96"/>
  <c r="T470" i="96"/>
  <c r="T469" i="96"/>
  <c r="T468" i="96"/>
  <c r="T467" i="96"/>
  <c r="T466" i="96"/>
  <c r="T465" i="96"/>
  <c r="T464" i="96"/>
  <c r="T463" i="96"/>
  <c r="T462" i="96"/>
  <c r="T461" i="96"/>
  <c r="T460" i="96"/>
  <c r="T459" i="96"/>
  <c r="T458" i="96"/>
  <c r="T457" i="96"/>
  <c r="T456" i="96"/>
  <c r="T455" i="96"/>
  <c r="T454" i="96"/>
  <c r="T453" i="96"/>
  <c r="T452" i="96"/>
  <c r="T451" i="96"/>
  <c r="T450" i="96"/>
  <c r="T449" i="96"/>
  <c r="T448" i="96"/>
  <c r="T447" i="96"/>
  <c r="T446" i="96"/>
  <c r="T445" i="96"/>
  <c r="T444" i="96"/>
  <c r="T443" i="96"/>
  <c r="T442" i="96"/>
  <c r="T441" i="96"/>
  <c r="T440" i="96"/>
  <c r="T439" i="96"/>
  <c r="T438" i="96"/>
  <c r="T437" i="96"/>
  <c r="T436" i="96"/>
  <c r="T435" i="96"/>
  <c r="T434" i="96"/>
  <c r="T433" i="96"/>
  <c r="T432" i="96"/>
  <c r="T431" i="96"/>
  <c r="T430" i="96"/>
  <c r="T429" i="96"/>
  <c r="T428" i="96"/>
  <c r="T427" i="96"/>
  <c r="T426" i="96"/>
  <c r="T425" i="96"/>
  <c r="T424" i="96"/>
  <c r="T423" i="96"/>
  <c r="T422" i="96"/>
  <c r="T421" i="96"/>
  <c r="T420" i="96"/>
  <c r="T419" i="96"/>
  <c r="T418" i="96"/>
  <c r="T417" i="96"/>
  <c r="T416" i="96"/>
  <c r="T415" i="96"/>
  <c r="T414" i="96"/>
  <c r="T413" i="96"/>
  <c r="T412" i="96"/>
  <c r="T411" i="96"/>
  <c r="T410" i="96"/>
  <c r="T409" i="96"/>
  <c r="T408" i="96"/>
  <c r="T407" i="96"/>
  <c r="T406" i="96"/>
  <c r="T405" i="96"/>
  <c r="T404" i="96"/>
  <c r="T403" i="96"/>
  <c r="T402" i="96"/>
  <c r="T401" i="96"/>
  <c r="T400" i="96"/>
  <c r="T399" i="96"/>
  <c r="T398" i="96"/>
  <c r="T397" i="96"/>
  <c r="T396" i="96"/>
  <c r="T395" i="96"/>
  <c r="T394" i="96"/>
  <c r="T393" i="96"/>
  <c r="T392" i="96"/>
  <c r="T391" i="96"/>
  <c r="T390" i="96"/>
  <c r="T389" i="96"/>
  <c r="T388" i="96"/>
  <c r="T387" i="96"/>
  <c r="T386" i="96"/>
  <c r="T385" i="96"/>
  <c r="T384" i="96"/>
  <c r="T383" i="96"/>
  <c r="T382" i="96"/>
  <c r="T381" i="96"/>
  <c r="T380" i="96"/>
  <c r="T379" i="96"/>
  <c r="T378" i="96"/>
  <c r="T377" i="96"/>
  <c r="T376" i="96"/>
  <c r="T375" i="96"/>
  <c r="T374" i="96"/>
  <c r="T373" i="96"/>
  <c r="T372" i="96"/>
  <c r="T371" i="96"/>
  <c r="T370" i="96"/>
  <c r="T369" i="96"/>
  <c r="T368" i="96"/>
  <c r="T367" i="96"/>
  <c r="T366" i="96"/>
  <c r="T365" i="96"/>
  <c r="T364" i="96"/>
  <c r="T363" i="96"/>
  <c r="T362" i="96"/>
  <c r="T361" i="96"/>
  <c r="T360" i="96"/>
  <c r="T359" i="96"/>
  <c r="T358" i="96"/>
  <c r="T357" i="96"/>
  <c r="T356" i="96"/>
  <c r="T355" i="96"/>
  <c r="T354" i="96"/>
  <c r="T353" i="96"/>
  <c r="T352" i="96"/>
  <c r="T351" i="96"/>
  <c r="T350" i="96"/>
  <c r="T349" i="96"/>
  <c r="T348" i="96"/>
  <c r="T347" i="96"/>
  <c r="T346" i="96"/>
  <c r="T345" i="96"/>
  <c r="T344" i="96"/>
  <c r="T343" i="96"/>
  <c r="T342" i="96"/>
  <c r="T341" i="96"/>
  <c r="T340" i="96"/>
  <c r="T339" i="96"/>
  <c r="T338" i="96"/>
  <c r="T337" i="96"/>
  <c r="T336" i="96"/>
  <c r="T335" i="96"/>
  <c r="T334" i="96"/>
  <c r="T333" i="96"/>
  <c r="T332" i="96"/>
  <c r="T331" i="96"/>
  <c r="T330" i="96"/>
  <c r="T329" i="96"/>
  <c r="T328" i="96"/>
  <c r="T327" i="96"/>
  <c r="T326" i="96"/>
  <c r="T325" i="96"/>
  <c r="T324" i="96"/>
  <c r="T323" i="96"/>
  <c r="T322" i="96"/>
  <c r="T321" i="96"/>
  <c r="T320" i="96"/>
  <c r="T319" i="96"/>
  <c r="T318" i="96"/>
  <c r="T317" i="96"/>
  <c r="T316" i="96"/>
  <c r="T315" i="96"/>
  <c r="T314" i="96"/>
  <c r="T313" i="96"/>
  <c r="T312" i="96"/>
  <c r="T311" i="96"/>
  <c r="T310" i="96"/>
  <c r="T309" i="96"/>
  <c r="T308" i="96"/>
  <c r="T307" i="96"/>
  <c r="T306" i="96"/>
  <c r="T305" i="96"/>
  <c r="T304" i="96"/>
  <c r="T303" i="96"/>
  <c r="T302" i="96"/>
  <c r="T301" i="96"/>
  <c r="T300" i="96"/>
  <c r="T299" i="96"/>
  <c r="T298" i="96"/>
  <c r="T297" i="96"/>
  <c r="T296" i="96"/>
  <c r="T295" i="96"/>
  <c r="T294" i="96"/>
  <c r="T293" i="96"/>
  <c r="T292" i="96"/>
  <c r="T291" i="96"/>
  <c r="T290" i="96"/>
  <c r="T289" i="96"/>
  <c r="T288" i="96"/>
  <c r="T287" i="96"/>
  <c r="T286" i="96"/>
  <c r="T285" i="96"/>
  <c r="T284" i="96"/>
  <c r="T283" i="96"/>
  <c r="T282" i="96"/>
  <c r="T281" i="96"/>
  <c r="T280" i="96"/>
  <c r="T279" i="96"/>
  <c r="T278" i="96"/>
  <c r="T277" i="96"/>
  <c r="T276" i="96"/>
  <c r="T275" i="96"/>
  <c r="T274" i="96"/>
  <c r="T273" i="96"/>
  <c r="T272" i="96"/>
  <c r="T271" i="96"/>
  <c r="T270" i="96"/>
  <c r="T269" i="96"/>
  <c r="T268" i="96"/>
  <c r="T267" i="96"/>
  <c r="T266" i="96"/>
  <c r="T265" i="96"/>
  <c r="T264" i="96"/>
  <c r="T263" i="96"/>
  <c r="T262" i="96"/>
  <c r="T261" i="96"/>
  <c r="T260" i="96"/>
  <c r="T259" i="96"/>
  <c r="T258" i="96"/>
  <c r="T257" i="96"/>
  <c r="T256" i="96"/>
  <c r="T255" i="96"/>
  <c r="T254" i="96"/>
  <c r="T253" i="96"/>
  <c r="T252" i="96"/>
  <c r="T251" i="96"/>
  <c r="T250" i="96"/>
  <c r="T249" i="96"/>
  <c r="T248" i="96"/>
  <c r="T247" i="96"/>
  <c r="T246" i="96"/>
  <c r="T245" i="96"/>
  <c r="T244" i="96"/>
  <c r="T243" i="96"/>
  <c r="T242" i="96"/>
  <c r="T241" i="96"/>
  <c r="T240" i="96"/>
  <c r="T239" i="96"/>
  <c r="T238" i="96"/>
  <c r="T237" i="96"/>
  <c r="T236" i="96"/>
  <c r="T235" i="96"/>
  <c r="T234" i="96"/>
  <c r="T233" i="96"/>
  <c r="T232" i="96"/>
  <c r="T231" i="96"/>
  <c r="T230" i="96"/>
  <c r="T229" i="96"/>
  <c r="T228" i="96"/>
  <c r="T227" i="96"/>
  <c r="T226" i="96"/>
  <c r="T225" i="96"/>
  <c r="T224" i="96"/>
  <c r="T223" i="96"/>
  <c r="T222" i="96"/>
  <c r="T221" i="96"/>
  <c r="T220" i="96"/>
  <c r="T219" i="96"/>
  <c r="T218" i="96"/>
  <c r="T217" i="96"/>
  <c r="T216" i="96"/>
  <c r="T215" i="96"/>
  <c r="T214" i="96"/>
  <c r="T213" i="96"/>
  <c r="T212" i="96"/>
  <c r="T211" i="96"/>
  <c r="T210" i="96"/>
  <c r="T209" i="96"/>
  <c r="T208" i="96"/>
  <c r="T207" i="96"/>
  <c r="T206" i="96"/>
  <c r="T205" i="96"/>
  <c r="T204" i="96"/>
  <c r="T203" i="96"/>
  <c r="T202" i="96"/>
  <c r="T201" i="96"/>
  <c r="T200" i="96"/>
  <c r="T199" i="96"/>
  <c r="T198" i="96"/>
  <c r="T197" i="96"/>
  <c r="T196" i="96"/>
  <c r="T195" i="96"/>
  <c r="T194" i="96"/>
  <c r="T193" i="96"/>
  <c r="T192" i="96"/>
  <c r="T191" i="96"/>
  <c r="T190" i="96"/>
  <c r="T189" i="96"/>
  <c r="T188" i="96"/>
  <c r="T187" i="96"/>
  <c r="T186" i="96"/>
  <c r="T185" i="96"/>
  <c r="T184" i="96"/>
  <c r="T183" i="96"/>
  <c r="T182" i="96"/>
  <c r="T181" i="96"/>
  <c r="T180" i="96"/>
  <c r="T179" i="96"/>
  <c r="T178" i="96"/>
  <c r="T177" i="96"/>
  <c r="T176" i="96"/>
  <c r="T175" i="96"/>
  <c r="T174" i="96"/>
  <c r="T173" i="96"/>
  <c r="T172" i="96"/>
  <c r="T171" i="96"/>
  <c r="T170" i="96"/>
  <c r="T169" i="96"/>
  <c r="T168" i="96"/>
  <c r="T167" i="96"/>
  <c r="T166" i="96"/>
  <c r="T165" i="96"/>
  <c r="T164" i="96"/>
  <c r="T163" i="96"/>
  <c r="T162" i="96"/>
  <c r="T161" i="96"/>
  <c r="T160" i="96"/>
  <c r="T159" i="96"/>
  <c r="T158" i="96"/>
  <c r="T157" i="96"/>
  <c r="T156" i="96"/>
  <c r="T155" i="96"/>
  <c r="T154" i="96"/>
  <c r="T153" i="96"/>
  <c r="T152" i="96"/>
  <c r="T151" i="96"/>
  <c r="T150" i="96"/>
  <c r="T149" i="96"/>
  <c r="T148" i="96"/>
  <c r="T147" i="96"/>
  <c r="T146" i="96"/>
  <c r="T145" i="96"/>
  <c r="T144" i="96"/>
  <c r="T143" i="96"/>
  <c r="T142" i="96"/>
  <c r="T141" i="96"/>
  <c r="T140" i="96"/>
  <c r="T139" i="96"/>
  <c r="T138" i="96"/>
  <c r="T137" i="96"/>
  <c r="T136" i="96"/>
  <c r="T135" i="96"/>
  <c r="T134" i="96"/>
  <c r="T133" i="96"/>
  <c r="T132" i="96"/>
  <c r="T131" i="96"/>
  <c r="T130" i="96"/>
  <c r="T129" i="96"/>
  <c r="T128" i="96"/>
  <c r="T127" i="96"/>
  <c r="T126" i="96"/>
  <c r="T125" i="96"/>
  <c r="T124" i="96"/>
  <c r="T123" i="96"/>
  <c r="T122" i="96"/>
  <c r="T121" i="96"/>
  <c r="T120" i="96"/>
  <c r="T119" i="96"/>
  <c r="T118" i="96"/>
  <c r="T117" i="96"/>
  <c r="T116" i="96"/>
  <c r="T115" i="96"/>
  <c r="T114" i="96"/>
  <c r="T113" i="96"/>
  <c r="T112" i="96"/>
  <c r="T111" i="96"/>
  <c r="T110" i="96"/>
  <c r="T109" i="96"/>
  <c r="T108" i="96"/>
  <c r="T107" i="96"/>
  <c r="T106" i="96"/>
  <c r="T105" i="96"/>
  <c r="T104" i="96"/>
  <c r="T103" i="96"/>
  <c r="T102" i="96"/>
  <c r="T101" i="96"/>
  <c r="T100" i="96"/>
  <c r="T99" i="96"/>
  <c r="T98" i="96"/>
  <c r="T97" i="96"/>
  <c r="T96" i="96"/>
  <c r="T95" i="96"/>
  <c r="T94" i="96"/>
  <c r="T93" i="96"/>
  <c r="T92" i="96"/>
  <c r="T91" i="96"/>
  <c r="T90" i="96"/>
  <c r="T89" i="96"/>
  <c r="T88" i="96"/>
  <c r="T87" i="96"/>
  <c r="T86" i="96"/>
  <c r="T85" i="96"/>
  <c r="T84" i="96"/>
  <c r="T83" i="96"/>
  <c r="T82" i="96"/>
  <c r="T81" i="96"/>
  <c r="T80" i="96"/>
  <c r="T79" i="96"/>
  <c r="T78" i="96"/>
  <c r="T77" i="96"/>
  <c r="T76" i="96"/>
  <c r="T75" i="96"/>
  <c r="T74" i="96"/>
  <c r="T73" i="96"/>
  <c r="T72" i="96"/>
  <c r="T71" i="96"/>
  <c r="T70" i="96"/>
  <c r="T69" i="96"/>
  <c r="T68" i="96"/>
  <c r="T67" i="96"/>
  <c r="T66" i="96"/>
  <c r="T65" i="96"/>
  <c r="T64" i="96"/>
  <c r="T63" i="96"/>
  <c r="T62" i="96"/>
  <c r="T61" i="96"/>
  <c r="T60" i="96"/>
  <c r="T59" i="96"/>
  <c r="T58" i="96"/>
  <c r="T57" i="96"/>
  <c r="T56" i="96"/>
  <c r="T55" i="96"/>
  <c r="T54" i="96"/>
  <c r="T53" i="96"/>
  <c r="T52" i="96"/>
  <c r="T51" i="96"/>
  <c r="T50" i="96"/>
  <c r="T49" i="96"/>
  <c r="T48" i="96"/>
  <c r="T47" i="96"/>
  <c r="T46" i="96"/>
  <c r="T45" i="96"/>
  <c r="T44" i="96"/>
  <c r="T43" i="96"/>
  <c r="T42" i="96"/>
  <c r="T41" i="96"/>
  <c r="T40" i="96"/>
  <c r="T39" i="96"/>
  <c r="T38" i="96"/>
  <c r="T37" i="96"/>
  <c r="T36" i="96"/>
  <c r="T35" i="96"/>
  <c r="T34" i="96"/>
  <c r="T33" i="96"/>
  <c r="T32" i="96"/>
  <c r="T31" i="96"/>
  <c r="T30" i="96"/>
  <c r="T29" i="96"/>
  <c r="T28" i="96"/>
  <c r="T27" i="96"/>
  <c r="T26" i="96"/>
  <c r="T25" i="96"/>
  <c r="T24" i="96"/>
  <c r="T23" i="96"/>
  <c r="T22" i="96"/>
  <c r="T21" i="96"/>
  <c r="T20" i="96"/>
  <c r="T19" i="96"/>
  <c r="T18" i="96"/>
  <c r="T17" i="96"/>
  <c r="T16" i="96"/>
  <c r="T15" i="96"/>
  <c r="T14" i="96"/>
  <c r="T13" i="96"/>
  <c r="T12" i="96"/>
  <c r="T11" i="96"/>
  <c r="T10" i="96"/>
  <c r="T9" i="96"/>
  <c r="T8" i="96"/>
  <c r="K67" i="103" l="1"/>
  <c r="K66" i="103"/>
  <c r="K65" i="103"/>
  <c r="K64" i="103"/>
  <c r="K63" i="103"/>
  <c r="K62" i="103"/>
  <c r="K61" i="103"/>
  <c r="K60" i="103"/>
  <c r="K59" i="103"/>
  <c r="K58" i="103"/>
  <c r="K96" i="97"/>
  <c r="K95" i="97"/>
  <c r="T520" i="96"/>
  <c r="T519" i="96"/>
  <c r="T518" i="96"/>
  <c r="T517" i="96"/>
  <c r="T516" i="96"/>
  <c r="T515" i="96"/>
  <c r="T514" i="96"/>
  <c r="T513" i="96"/>
  <c r="T512" i="96"/>
  <c r="T511" i="96"/>
  <c r="T510" i="96"/>
  <c r="T509" i="96"/>
  <c r="T508" i="96"/>
  <c r="T507" i="96"/>
  <c r="K25" i="102"/>
  <c r="K24" i="102"/>
  <c r="K456" i="101"/>
  <c r="K455" i="101"/>
  <c r="K454" i="101"/>
  <c r="K453" i="101"/>
  <c r="K452" i="101"/>
  <c r="K451" i="101"/>
  <c r="K450" i="101"/>
  <c r="K449" i="101"/>
  <c r="N466" i="101"/>
  <c r="N465" i="101"/>
  <c r="N464" i="101"/>
  <c r="N463" i="101"/>
  <c r="N462" i="101"/>
  <c r="N461" i="101"/>
  <c r="T502" i="96"/>
  <c r="K53" i="103" l="1"/>
  <c r="K52" i="103"/>
  <c r="K51" i="103"/>
  <c r="K50" i="103"/>
  <c r="K49" i="103"/>
  <c r="K48" i="103"/>
  <c r="K47" i="103"/>
  <c r="K46" i="103"/>
  <c r="K45" i="103"/>
  <c r="K44" i="103"/>
  <c r="K43" i="103"/>
  <c r="K42" i="103"/>
  <c r="K41" i="103"/>
  <c r="K40" i="103"/>
  <c r="K39" i="103"/>
  <c r="K38" i="103"/>
  <c r="K37" i="103"/>
  <c r="K36" i="103"/>
  <c r="K35" i="103"/>
  <c r="K34" i="103"/>
  <c r="K33" i="103"/>
  <c r="K32" i="103"/>
  <c r="K31" i="103"/>
  <c r="K30" i="103"/>
  <c r="K29" i="103"/>
  <c r="K28" i="103"/>
  <c r="K27" i="103"/>
  <c r="K26" i="103"/>
  <c r="K25" i="103"/>
  <c r="K24" i="103"/>
  <c r="K23" i="103"/>
  <c r="K22" i="103"/>
  <c r="K21" i="103"/>
  <c r="K20" i="103"/>
  <c r="K19" i="103"/>
  <c r="K18" i="103"/>
  <c r="K17" i="103"/>
  <c r="K16" i="103"/>
  <c r="K15" i="103"/>
  <c r="K14" i="103"/>
  <c r="K13" i="103"/>
  <c r="K12" i="103"/>
  <c r="K11" i="103"/>
  <c r="K10" i="103"/>
  <c r="K9" i="103"/>
  <c r="K8" i="103"/>
  <c r="K36" i="97" l="1"/>
  <c r="K35" i="97"/>
  <c r="K34" i="97"/>
  <c r="K33" i="97"/>
  <c r="K32" i="97"/>
  <c r="K31" i="97"/>
  <c r="K30" i="97"/>
  <c r="K29" i="97"/>
  <c r="K28" i="97"/>
  <c r="K27" i="97"/>
  <c r="K26" i="97"/>
  <c r="K25" i="97"/>
  <c r="K24" i="97"/>
  <c r="K23" i="97"/>
  <c r="K22" i="97"/>
  <c r="K21" i="97"/>
  <c r="K20" i="97"/>
  <c r="K19" i="97"/>
  <c r="K18" i="97"/>
  <c r="K17" i="97"/>
  <c r="K16" i="97"/>
  <c r="K15" i="97"/>
  <c r="K10" i="97"/>
  <c r="K9" i="97"/>
  <c r="K8" i="97"/>
  <c r="K19" i="102"/>
  <c r="K18" i="102"/>
  <c r="K17" i="102"/>
  <c r="K16" i="102"/>
  <c r="K15" i="102"/>
  <c r="K14" i="102"/>
  <c r="K13" i="102"/>
  <c r="K12" i="102"/>
  <c r="K11" i="102"/>
  <c r="K10" i="102"/>
  <c r="K9" i="102"/>
  <c r="K8" i="102"/>
  <c r="K444" i="101"/>
  <c r="K443" i="101"/>
  <c r="K442" i="101"/>
  <c r="K441" i="101"/>
  <c r="K440" i="101"/>
  <c r="K439" i="101"/>
  <c r="K438" i="101"/>
  <c r="K437" i="101"/>
  <c r="K436" i="101"/>
  <c r="K435" i="101"/>
  <c r="K434" i="101"/>
  <c r="K433" i="101"/>
  <c r="K432" i="101"/>
  <c r="K431" i="101"/>
  <c r="K430" i="101"/>
  <c r="K429" i="101"/>
  <c r="K428" i="101"/>
  <c r="K427" i="101"/>
  <c r="K426" i="101"/>
  <c r="K425" i="101"/>
  <c r="K424" i="101"/>
  <c r="K423" i="101"/>
  <c r="K422" i="101"/>
  <c r="K421" i="101"/>
  <c r="K420" i="101"/>
  <c r="K419" i="101"/>
  <c r="K418" i="101"/>
  <c r="K417" i="101"/>
  <c r="K416" i="101"/>
  <c r="K415" i="101"/>
  <c r="K414" i="101"/>
  <c r="K413" i="101"/>
  <c r="K412" i="101"/>
  <c r="K411" i="101"/>
  <c r="K410" i="101"/>
  <c r="K409" i="101"/>
  <c r="K408" i="101"/>
  <c r="K407" i="101"/>
  <c r="K406" i="101"/>
  <c r="K405" i="101"/>
  <c r="K404" i="101"/>
  <c r="K403" i="101"/>
  <c r="K402" i="101"/>
  <c r="K401" i="101"/>
  <c r="K400" i="101"/>
  <c r="K399" i="101"/>
  <c r="K398" i="101"/>
  <c r="K397" i="101"/>
  <c r="K396" i="101"/>
  <c r="K395" i="101"/>
  <c r="K394" i="101"/>
  <c r="K393" i="101"/>
  <c r="K392" i="101"/>
  <c r="K391" i="101"/>
  <c r="K390" i="101"/>
  <c r="K389" i="101"/>
  <c r="K388" i="101"/>
  <c r="K387" i="101"/>
  <c r="K386" i="101"/>
  <c r="K385" i="101"/>
  <c r="K384" i="101"/>
  <c r="K383" i="101"/>
  <c r="K382" i="101"/>
  <c r="K381" i="101"/>
  <c r="K380" i="101"/>
  <c r="K379" i="101"/>
  <c r="K378" i="101"/>
  <c r="K377" i="101"/>
  <c r="K376" i="101"/>
  <c r="K375" i="101"/>
  <c r="K374" i="101"/>
  <c r="K373" i="101"/>
  <c r="K372" i="101"/>
  <c r="K371" i="101"/>
  <c r="K370" i="101"/>
  <c r="K369" i="101"/>
  <c r="K368" i="101"/>
  <c r="K367" i="101"/>
  <c r="K366" i="101"/>
  <c r="K365" i="101"/>
  <c r="K364" i="101"/>
  <c r="K363" i="101"/>
  <c r="K362" i="101"/>
  <c r="K361" i="101"/>
  <c r="K360" i="101"/>
  <c r="K359" i="101"/>
  <c r="K358" i="101"/>
  <c r="K357" i="101"/>
  <c r="K356" i="101"/>
  <c r="K355" i="101"/>
  <c r="K354" i="101"/>
  <c r="K353" i="101"/>
  <c r="K352" i="101"/>
  <c r="K351" i="101"/>
  <c r="K350" i="101"/>
  <c r="K349" i="101"/>
  <c r="K348" i="101"/>
  <c r="K347" i="101"/>
  <c r="K346" i="101"/>
  <c r="K345" i="101"/>
  <c r="K344" i="101"/>
  <c r="K343" i="101"/>
  <c r="K342" i="101"/>
  <c r="K341" i="101"/>
  <c r="K340" i="101"/>
  <c r="K339" i="101"/>
  <c r="K338" i="101"/>
  <c r="K337" i="101"/>
  <c r="K336" i="101"/>
  <c r="K335" i="101"/>
  <c r="K334" i="101"/>
  <c r="K333" i="101"/>
  <c r="K332" i="101"/>
  <c r="K331" i="101"/>
  <c r="K330" i="101"/>
  <c r="K329" i="101"/>
  <c r="K328" i="101"/>
  <c r="K327" i="101"/>
  <c r="K326" i="101"/>
  <c r="K325" i="101"/>
  <c r="K324" i="101"/>
  <c r="K323" i="101"/>
  <c r="K322" i="101"/>
  <c r="K321" i="101"/>
  <c r="K320" i="101"/>
  <c r="K319" i="101"/>
  <c r="K318" i="101"/>
  <c r="K317" i="101"/>
  <c r="K316" i="101"/>
  <c r="K315" i="101"/>
  <c r="K314" i="101"/>
  <c r="K313" i="101"/>
  <c r="K312" i="101"/>
  <c r="K311" i="101"/>
  <c r="K310" i="101"/>
  <c r="K309" i="101"/>
  <c r="K308" i="101"/>
  <c r="K307" i="101"/>
  <c r="K306" i="101"/>
  <c r="K305" i="101"/>
  <c r="K304" i="101"/>
  <c r="K303" i="101"/>
  <c r="K302" i="101"/>
  <c r="K301" i="101"/>
  <c r="K300" i="101"/>
  <c r="K299" i="101"/>
  <c r="K298" i="101"/>
  <c r="K297" i="101"/>
  <c r="K296" i="101"/>
  <c r="K295" i="101"/>
  <c r="K294" i="101"/>
  <c r="K293" i="101"/>
  <c r="K292" i="101"/>
  <c r="K291" i="101"/>
  <c r="K290" i="101"/>
  <c r="K289" i="101"/>
  <c r="K288" i="101"/>
  <c r="K287" i="101"/>
  <c r="K286" i="101"/>
  <c r="K285" i="101"/>
  <c r="K284" i="101"/>
  <c r="K283" i="101"/>
  <c r="K282" i="101"/>
  <c r="K281" i="101"/>
  <c r="K280" i="101"/>
  <c r="K279" i="101"/>
  <c r="K278" i="101"/>
  <c r="K277" i="101"/>
  <c r="K276" i="101"/>
  <c r="K275" i="101"/>
  <c r="K274" i="101"/>
  <c r="K273" i="101"/>
  <c r="K272" i="101"/>
  <c r="K271" i="101"/>
  <c r="K270" i="101"/>
  <c r="K269" i="101"/>
  <c r="K268" i="101"/>
  <c r="K267" i="101"/>
  <c r="K266" i="101"/>
  <c r="K265" i="101"/>
  <c r="K264" i="101"/>
  <c r="K263" i="101"/>
  <c r="K262" i="101"/>
  <c r="K261" i="101"/>
  <c r="K260" i="101"/>
  <c r="K259" i="101"/>
  <c r="K258" i="101"/>
  <c r="K257" i="101"/>
  <c r="K256" i="101"/>
  <c r="K255" i="101"/>
  <c r="K254" i="101"/>
  <c r="K253" i="101"/>
  <c r="K252" i="101"/>
  <c r="K251" i="101"/>
  <c r="K250" i="101"/>
  <c r="K249" i="101"/>
  <c r="K248" i="101"/>
  <c r="K247" i="101"/>
  <c r="K246" i="101"/>
  <c r="K245" i="101"/>
  <c r="K244" i="101"/>
  <c r="K243" i="101"/>
  <c r="K242" i="101"/>
  <c r="K241" i="101"/>
  <c r="K240" i="101"/>
  <c r="K239" i="101"/>
  <c r="K238" i="101"/>
  <c r="K237" i="101"/>
  <c r="K236" i="101"/>
  <c r="K235" i="101"/>
  <c r="K234" i="101"/>
  <c r="K233" i="101"/>
  <c r="K232" i="101"/>
  <c r="K231" i="101"/>
  <c r="K230" i="101"/>
  <c r="K229" i="101"/>
  <c r="K228" i="101"/>
  <c r="K227" i="101"/>
  <c r="K226" i="101"/>
  <c r="K225" i="101"/>
  <c r="K224" i="101"/>
  <c r="K223" i="101"/>
  <c r="K222" i="101"/>
  <c r="K221" i="101"/>
  <c r="K220" i="101"/>
  <c r="K219" i="101"/>
  <c r="K218" i="101"/>
  <c r="K217" i="101"/>
  <c r="K216" i="101"/>
  <c r="K215" i="101"/>
  <c r="K214" i="101"/>
  <c r="K213" i="101"/>
  <c r="K212" i="101"/>
  <c r="K211" i="101"/>
  <c r="K210" i="101"/>
  <c r="K209" i="101"/>
  <c r="K208" i="101"/>
  <c r="K207" i="101"/>
  <c r="K206" i="101"/>
  <c r="K205" i="101"/>
  <c r="K204" i="101"/>
  <c r="K203" i="101"/>
  <c r="K202" i="101"/>
  <c r="K201" i="101"/>
  <c r="K200" i="101"/>
  <c r="K199" i="101"/>
  <c r="K198" i="101"/>
  <c r="K197" i="101"/>
  <c r="K196" i="101"/>
  <c r="K195" i="101"/>
  <c r="K194" i="101"/>
  <c r="K193" i="101"/>
  <c r="K192" i="101"/>
  <c r="K191" i="101"/>
  <c r="K190" i="101"/>
  <c r="K189" i="101"/>
  <c r="K188" i="101"/>
  <c r="K187" i="101"/>
  <c r="K186" i="101"/>
  <c r="K185" i="101"/>
  <c r="K184" i="101"/>
  <c r="K183" i="101"/>
  <c r="K182" i="101"/>
  <c r="K181" i="101"/>
  <c r="K180" i="101"/>
  <c r="K179" i="101"/>
  <c r="K178" i="101"/>
  <c r="K177" i="101"/>
  <c r="K176" i="101"/>
  <c r="K175" i="101"/>
  <c r="K174" i="101"/>
  <c r="K173" i="101"/>
  <c r="K172" i="101"/>
  <c r="K171" i="101"/>
  <c r="K170" i="101"/>
  <c r="K169" i="101"/>
  <c r="K168" i="101"/>
  <c r="K167" i="101"/>
  <c r="K166" i="101"/>
  <c r="K165" i="101"/>
  <c r="K164" i="101"/>
  <c r="K163" i="101"/>
  <c r="K162" i="101"/>
  <c r="K161" i="101"/>
  <c r="K160" i="101"/>
  <c r="K159" i="101"/>
  <c r="K158" i="101"/>
  <c r="K157" i="101"/>
  <c r="K156" i="101"/>
  <c r="K155" i="101"/>
  <c r="K154" i="101"/>
  <c r="K153" i="101"/>
  <c r="K152" i="101"/>
  <c r="K151" i="101"/>
  <c r="K150" i="101"/>
  <c r="K149" i="101"/>
  <c r="K148" i="101"/>
  <c r="K147" i="101"/>
  <c r="K146" i="101"/>
  <c r="K145" i="101"/>
  <c r="K144" i="101"/>
  <c r="K143" i="101"/>
  <c r="K142" i="101"/>
  <c r="K141" i="101"/>
  <c r="K140" i="101"/>
  <c r="K139" i="101"/>
  <c r="K138" i="101"/>
  <c r="K137" i="101"/>
  <c r="K136" i="101"/>
  <c r="K135" i="101"/>
  <c r="K134" i="101"/>
  <c r="K133" i="101"/>
  <c r="K132" i="101"/>
  <c r="K131" i="101"/>
  <c r="K130" i="101"/>
  <c r="K129" i="101"/>
  <c r="K128" i="101"/>
  <c r="K127" i="101"/>
  <c r="K126" i="101"/>
  <c r="K125" i="101"/>
  <c r="K124" i="101"/>
  <c r="K123" i="101"/>
  <c r="K122" i="101"/>
  <c r="K121" i="101"/>
  <c r="K120" i="101"/>
  <c r="K119" i="101"/>
  <c r="K118" i="101"/>
  <c r="K117" i="101"/>
  <c r="K116" i="101"/>
  <c r="K115" i="101"/>
  <c r="K114" i="101"/>
  <c r="K113" i="101"/>
  <c r="K112" i="101"/>
  <c r="K111" i="101"/>
  <c r="K110" i="101"/>
  <c r="K109" i="101"/>
  <c r="K108" i="101"/>
  <c r="K107" i="101"/>
  <c r="K106" i="101"/>
  <c r="K105" i="101"/>
  <c r="K104" i="101"/>
  <c r="K103" i="101"/>
  <c r="K102" i="101"/>
  <c r="K101" i="101"/>
  <c r="K100" i="101"/>
  <c r="K99" i="101"/>
  <c r="K98" i="101"/>
  <c r="K97" i="101"/>
  <c r="K96" i="101"/>
  <c r="K95" i="101"/>
  <c r="K94" i="101"/>
  <c r="K93" i="101"/>
  <c r="K92" i="101"/>
  <c r="K91" i="101"/>
  <c r="K90" i="101"/>
  <c r="K89" i="101"/>
  <c r="K88" i="101"/>
  <c r="K87" i="101"/>
  <c r="K86" i="101"/>
  <c r="K85" i="101"/>
  <c r="K84" i="101"/>
  <c r="K83" i="101"/>
  <c r="K82" i="101"/>
  <c r="K81" i="101"/>
  <c r="K80" i="101"/>
  <c r="K79" i="101"/>
  <c r="K78" i="101"/>
  <c r="K77" i="101"/>
  <c r="K76" i="101"/>
  <c r="K71" i="101"/>
  <c r="K70" i="101"/>
  <c r="K69" i="101"/>
  <c r="K68" i="101"/>
  <c r="K67" i="101"/>
  <c r="K66" i="101"/>
  <c r="K65" i="101"/>
  <c r="K64" i="101"/>
  <c r="K63" i="101"/>
  <c r="K62" i="101"/>
  <c r="K61" i="101"/>
  <c r="K60" i="101"/>
  <c r="K59" i="101"/>
  <c r="K58" i="101"/>
  <c r="K57" i="101"/>
  <c r="K56" i="101"/>
  <c r="K55" i="101"/>
  <c r="K54" i="101"/>
  <c r="K53" i="101"/>
  <c r="K52" i="101"/>
  <c r="K51" i="101"/>
  <c r="K50" i="101"/>
  <c r="K49" i="101"/>
  <c r="K48" i="101"/>
  <c r="K47" i="101"/>
  <c r="K46" i="101"/>
  <c r="K45" i="101"/>
  <c r="K44" i="101"/>
  <c r="K43" i="101"/>
  <c r="K42" i="101"/>
  <c r="K41" i="101"/>
  <c r="K40" i="101"/>
  <c r="K39" i="101"/>
  <c r="K38" i="101"/>
  <c r="K37" i="101"/>
  <c r="K36" i="101"/>
  <c r="K35" i="101"/>
  <c r="K34" i="101"/>
  <c r="K33" i="101"/>
  <c r="K32" i="101"/>
  <c r="K31" i="101"/>
  <c r="K30" i="101"/>
  <c r="K29" i="101"/>
  <c r="K28" i="101"/>
  <c r="K27" i="101"/>
  <c r="K26" i="101"/>
  <c r="K25" i="101"/>
  <c r="K24" i="101"/>
  <c r="K23" i="101"/>
  <c r="K22" i="101"/>
  <c r="K21" i="101"/>
  <c r="K20" i="101"/>
  <c r="K19" i="101"/>
  <c r="K18" i="101"/>
  <c r="K17" i="101"/>
  <c r="K16" i="101"/>
  <c r="K15" i="101"/>
  <c r="K14" i="101"/>
  <c r="K13" i="101"/>
  <c r="K12" i="101"/>
  <c r="K11" i="101"/>
  <c r="K10" i="101"/>
  <c r="K9" i="101"/>
  <c r="K8" i="101"/>
  <c r="K90" i="97" l="1"/>
  <c r="K89" i="97"/>
  <c r="K88" i="97"/>
  <c r="K87" i="97"/>
  <c r="K86" i="97"/>
  <c r="K85" i="97"/>
  <c r="K84" i="97"/>
  <c r="K83" i="97"/>
  <c r="K82" i="97"/>
  <c r="K81" i="97"/>
  <c r="K80" i="97"/>
  <c r="K79" i="97"/>
  <c r="K78" i="97"/>
  <c r="K77" i="97"/>
  <c r="K76" i="97"/>
  <c r="K75" i="97"/>
  <c r="K74" i="97"/>
  <c r="K73" i="97"/>
  <c r="K72" i="97"/>
  <c r="K71" i="97"/>
  <c r="K70" i="97"/>
  <c r="K69" i="97"/>
  <c r="K68" i="97"/>
  <c r="K67" i="97"/>
  <c r="K66" i="97"/>
  <c r="K65" i="97"/>
  <c r="K64" i="97"/>
  <c r="K63" i="97"/>
  <c r="K62" i="97"/>
  <c r="K61" i="97"/>
  <c r="K60" i="97"/>
  <c r="K59" i="97"/>
  <c r="K58" i="97"/>
  <c r="K57" i="97"/>
  <c r="K56" i="97"/>
  <c r="K55" i="97"/>
  <c r="K54" i="97"/>
  <c r="K53" i="97"/>
  <c r="K52" i="97"/>
  <c r="K51" i="97"/>
  <c r="K50" i="97"/>
  <c r="K49" i="97"/>
  <c r="K48" i="97"/>
  <c r="K47" i="97"/>
  <c r="K46" i="97"/>
  <c r="K45" i="97"/>
  <c r="K44" i="97"/>
  <c r="K43" i="97"/>
  <c r="K42" i="97"/>
  <c r="K41" i="97"/>
</calcChain>
</file>

<file path=xl/sharedStrings.xml><?xml version="1.0" encoding="utf-8"?>
<sst xmlns="http://schemas.openxmlformats.org/spreadsheetml/2006/main" count="7937" uniqueCount="1481">
  <si>
    <t>[오프라인 한정 적용, 온라인 적용 불가]</t>
    <phoneticPr fontId="2" type="noConversion"/>
  </si>
  <si>
    <t>메이커</t>
    <phoneticPr fontId="2" type="noConversion"/>
  </si>
  <si>
    <t>기간</t>
    <phoneticPr fontId="2" type="noConversion"/>
  </si>
  <si>
    <t>품목</t>
    <phoneticPr fontId="2" type="noConversion"/>
  </si>
  <si>
    <t>모델</t>
    <phoneticPr fontId="2" type="noConversion"/>
  </si>
  <si>
    <t>비고</t>
    <phoneticPr fontId="2" type="noConversion"/>
  </si>
  <si>
    <t>냉장고</t>
  </si>
  <si>
    <t>식기세척기</t>
  </si>
  <si>
    <t>전기레인지</t>
  </si>
  <si>
    <t>의류청정기</t>
  </si>
  <si>
    <t>금액</t>
    <phoneticPr fontId="2" type="noConversion"/>
  </si>
  <si>
    <t>.</t>
    <phoneticPr fontId="2" type="noConversion"/>
  </si>
  <si>
    <t xml:space="preserve">2. 행사 내용 </t>
    <phoneticPr fontId="7" type="noConversion"/>
  </si>
  <si>
    <t>3. 품목별 행사 모델</t>
    <phoneticPr fontId="7" type="noConversion"/>
  </si>
  <si>
    <t>4. 지급 조건</t>
    <phoneticPr fontId="7" type="noConversion"/>
  </si>
  <si>
    <t xml:space="preserve">   - 결제 카드 무관</t>
    <phoneticPr fontId="7" type="noConversion"/>
  </si>
  <si>
    <t xml:space="preserve">   - 아래 행사모델 동시구매 L포인트는 기본 모델 포인트외 추가 지급(구매조건 충족시)되는 정책임</t>
    <phoneticPr fontId="2" type="noConversion"/>
  </si>
  <si>
    <t xml:space="preserve">   - 당월 內 고객 100% 완납 조건으로 포인트 즉시 지급 (이월 완납시 당월 정책 적용불가)</t>
    <phoneticPr fontId="2" type="noConversion"/>
  </si>
  <si>
    <t xml:space="preserve">     ※ 단, 고객 취소 발생시 포인트 회수</t>
    <phoneticPr fontId="2" type="noConversion"/>
  </si>
  <si>
    <t>금액</t>
  </si>
  <si>
    <t>모델</t>
  </si>
  <si>
    <t xml:space="preserve">      ※ 반드시 하기 행사모델 한정해서 적용 ★</t>
    <phoneticPr fontId="2" type="noConversion"/>
  </si>
  <si>
    <t xml:space="preserve"> 금액 </t>
  </si>
  <si>
    <t>품목</t>
  </si>
  <si>
    <t>김치냉장고</t>
  </si>
  <si>
    <t>조합 ①</t>
    <phoneticPr fontId="2" type="noConversion"/>
  </si>
  <si>
    <t>조합 ②</t>
    <phoneticPr fontId="2" type="noConversion"/>
  </si>
  <si>
    <t xml:space="preserve">   - 동일 Seg 복수 모델 구매 적용 불가 (1 Seg 1모델 한정적용) ★중요★</t>
    <phoneticPr fontId="2" type="noConversion"/>
  </si>
  <si>
    <t>모델별 상이</t>
  </si>
  <si>
    <t>Seg (품목구분자)</t>
    <phoneticPr fontId="2" type="noConversion"/>
  </si>
  <si>
    <t xml:space="preserve">     ※ 결제 카드 무관</t>
    <phoneticPr fontId="7" type="noConversion"/>
  </si>
  <si>
    <t>김치냉장고 인피니트</t>
  </si>
  <si>
    <t>큐브냉장고</t>
  </si>
  <si>
    <t>키친핏 4도어</t>
  </si>
  <si>
    <t>프리스탠딩 4도어</t>
  </si>
  <si>
    <t>1도어 냉장</t>
  </si>
  <si>
    <t>1도어 와인</t>
  </si>
  <si>
    <t>1도어 냉동</t>
  </si>
  <si>
    <t>김치냉장고 500L 일반</t>
  </si>
  <si>
    <t>동시구매 행사내용</t>
    <phoneticPr fontId="2" type="noConversion"/>
  </si>
  <si>
    <t>김치냉장고 1도어</t>
  </si>
  <si>
    <t>행사내용</t>
    <phoneticPr fontId="2" type="noConversion"/>
  </si>
  <si>
    <t>[오프라인]</t>
    <phoneticPr fontId="2" type="noConversion"/>
  </si>
  <si>
    <t xml:space="preserve">   - 행사 모델 구입 고객 중 동일 고객이 동일 품목이 아닌, 서로 다른 품목 동시 구매건(2모델 이상)에 한하여 금융정책 적용</t>
    <phoneticPr fontId="7" type="noConversion"/>
  </si>
  <si>
    <t xml:space="preserve">    ※ 동일 고객이 동일 행사모델 2대 이상 구매시는 미적용</t>
    <phoneticPr fontId="7" type="noConversion"/>
  </si>
  <si>
    <t xml:space="preserve">    ※ 결제 카드 무관</t>
    <phoneticPr fontId="7" type="noConversion"/>
  </si>
  <si>
    <t xml:space="preserve">   - 아래 행사모델 동시구매 금융정책은 기본 모델 금융정책 외 추가 지급(구매조건 충족시)되는 정책임</t>
    <phoneticPr fontId="2" type="noConversion"/>
  </si>
  <si>
    <t>세탁기</t>
    <phoneticPr fontId="2" type="noConversion"/>
  </si>
  <si>
    <t>건조기</t>
    <phoneticPr fontId="2" type="noConversion"/>
  </si>
  <si>
    <t xml:space="preserve">     ※ 단, 고객 취소 발생시 회수</t>
    <phoneticPr fontId="2" type="noConversion"/>
  </si>
  <si>
    <t xml:space="preserve">   - 행사모델(아래 참조) 복수 품목 이상 구매시 추가 금융정책 증정</t>
    <phoneticPr fontId="2" type="noConversion"/>
  </si>
  <si>
    <t xml:space="preserve">   - 의류케어 다품목 1과 중복적용 가능 ★</t>
    <phoneticPr fontId="2" type="noConversion"/>
  </si>
  <si>
    <t>▣ 건조기 설치키트 다품목</t>
    <phoneticPr fontId="2" type="noConversion"/>
  </si>
  <si>
    <t>상단설치키트</t>
    <phoneticPr fontId="2" type="noConversion"/>
  </si>
  <si>
    <t xml:space="preserve">   - 당월 內 고객 70% 완납 조건으로 모바일상품권 즉시 지급 (이월 완납시 당월 정책 적용불가)</t>
    <phoneticPr fontId="2" type="noConversion"/>
  </si>
  <si>
    <t xml:space="preserve">   - 행사모델(아래 참조) 2개 Seg 이상 구매시 추가 모바일상품권 증정</t>
    <phoneticPr fontId="2" type="noConversion"/>
  </si>
  <si>
    <t xml:space="preserve">   - 아래 행사모델 동시구매 모바일상품권은 기본 모델 모바일상품권 외 추가 지급(구매조건 충족시)되는 정책임</t>
    <phoneticPr fontId="2" type="noConversion"/>
  </si>
  <si>
    <t>모델명</t>
  </si>
  <si>
    <t>■ 삼성전자 『가전품목』 모델별 운영 案 (H쿠폰 / 모바일상품권)</t>
    <phoneticPr fontId="2" type="noConversion"/>
  </si>
  <si>
    <t>동시구매시 혜택
조합① + 조합②</t>
    <phoneticPr fontId="2" type="noConversion"/>
  </si>
  <si>
    <t>■ 삼성전자 『가전품목』 동시구매 운영 案 (H쿠폰 / 모바일상품권)</t>
    <phoneticPr fontId="2" type="noConversion"/>
  </si>
  <si>
    <t>DV20CB8890BV</t>
  </si>
  <si>
    <t>DV20CB8890BE</t>
  </si>
  <si>
    <t>DV20CB8870BB</t>
  </si>
  <si>
    <t>DF24CB9900MR</t>
  </si>
  <si>
    <t>DF24CB99001R</t>
  </si>
  <si>
    <t>DF24CB9900ER</t>
  </si>
  <si>
    <t>DF24CB9600WR</t>
  </si>
  <si>
    <t>DF24CB9600ER</t>
  </si>
  <si>
    <t>DF24CB9600GR</t>
  </si>
  <si>
    <t>메이커</t>
  </si>
  <si>
    <t>기간</t>
  </si>
  <si>
    <t>동시구매 행사내용</t>
  </si>
  <si>
    <t>조합 ①</t>
  </si>
  <si>
    <t>조합 ②</t>
  </si>
  <si>
    <t>비고</t>
  </si>
  <si>
    <r>
      <t xml:space="preserve">   - 고객번호 기준 배송지 2개 이하건에 한해 정산함</t>
    </r>
    <r>
      <rPr>
        <b/>
        <sz val="9"/>
        <color rgb="FFFF0000"/>
        <rFont val="맑은 고딕"/>
        <family val="3"/>
        <charset val="129"/>
        <scheme val="minor"/>
      </rPr>
      <t xml:space="preserve"> (※ 예외 : 핸드캐리 제품 매장납 포함시 배송지 3개 인정)</t>
    </r>
    <phoneticPr fontId="7" type="noConversion"/>
  </si>
  <si>
    <t>동시구매시 혜택
조합① + 조합②</t>
  </si>
  <si>
    <t>모델군</t>
  </si>
  <si>
    <t>WF25CB8790BE</t>
  </si>
  <si>
    <t>인피니트 4도어 냉장</t>
  </si>
  <si>
    <t>인피니트 1도어 냉장</t>
  </si>
  <si>
    <t>인피니트 1도어 냉동</t>
  </si>
  <si>
    <t>1도어 변온</t>
  </si>
  <si>
    <t>DV22DB8890BE</t>
  </si>
  <si>
    <t>DV22DB8890BV</t>
  </si>
  <si>
    <t xml:space="preserve">   - 고객번호 기준 판촉 2회 이상 중복 적용 불가함</t>
    <phoneticPr fontId="7" type="noConversion"/>
  </si>
  <si>
    <t xml:space="preserve">   - 동일 품목 內 동일 행사모델 2대 이상 구매하더라도 1개 품목으로 인정 (동일모델 2대 이상 구매 시, 1대로 간주)</t>
    <phoneticPr fontId="2" type="noConversion"/>
  </si>
  <si>
    <t>김치냉장고 400L 일반</t>
  </si>
  <si>
    <t>김치냉장고 3도어</t>
  </si>
  <si>
    <t>WF25CB8790BB</t>
  </si>
  <si>
    <t>[오프라인한정적용,온라인적용불가]</t>
  </si>
  <si>
    <t xml:space="preserve">조합 ③ </t>
    <phoneticPr fontId="2" type="noConversion"/>
  </si>
  <si>
    <t xml:space="preserve"> 조합 ④</t>
    <phoneticPr fontId="2" type="noConversion"/>
  </si>
  <si>
    <t xml:space="preserve"> 조합 ⑤</t>
    <phoneticPr fontId="2" type="noConversion"/>
  </si>
  <si>
    <t>Seg (품목구분자)</t>
  </si>
  <si>
    <t>인피니트 1도어 와인</t>
  </si>
  <si>
    <t>3도어</t>
  </si>
  <si>
    <t>2도어 (BMF)</t>
  </si>
  <si>
    <t>정수기(정수x)</t>
  </si>
  <si>
    <t>김치냉장고 500L 셰프에디션</t>
  </si>
  <si>
    <t>KQ98QC88AFXKR</t>
  </si>
  <si>
    <t>HW-Q800D/KR</t>
  </si>
  <si>
    <t>KQ85QND88AFXKR</t>
  </si>
  <si>
    <t>KQ77SD90AFXKR</t>
  </si>
  <si>
    <t>KQ83SD90AEXKR</t>
  </si>
  <si>
    <t>삼성</t>
    <phoneticPr fontId="2" type="noConversion"/>
  </si>
  <si>
    <t>TV</t>
  </si>
  <si>
    <t>KQ83SF95AEXKR</t>
  </si>
  <si>
    <t>KQ83SF90AEXKR</t>
  </si>
  <si>
    <t>KQ83SF85AEXKR</t>
  </si>
  <si>
    <t>KQ77SF95AFXKR</t>
  </si>
  <si>
    <t>KQ77SF90AFXKR</t>
  </si>
  <si>
    <t>KQ77SF85AEXKR</t>
  </si>
  <si>
    <t>KQ65SF90AFXKR</t>
  </si>
  <si>
    <t>KQ65SF85AEXKR</t>
  </si>
  <si>
    <t>KQ85QNF87AFXKR</t>
  </si>
  <si>
    <t>KQ75QNF87AFXKR</t>
  </si>
  <si>
    <t>KQ85QND900FXKR</t>
  </si>
  <si>
    <t>KQ75QND900FXKR</t>
  </si>
  <si>
    <t>KQ85QND800FXKR</t>
  </si>
  <si>
    <t>KQ75QND800FXKR</t>
  </si>
  <si>
    <t>KQ98QND90AFXKR</t>
  </si>
  <si>
    <t>KQ85QND90AFXKR</t>
  </si>
  <si>
    <t>KQ75QND90AFXKR</t>
  </si>
  <si>
    <t>KQ65QND90AFXKR</t>
  </si>
  <si>
    <t>KQ65SD95AFXKR</t>
  </si>
  <si>
    <t>KQ65SD90AFXKR</t>
  </si>
  <si>
    <t>KQ75QND88AFXKR</t>
  </si>
  <si>
    <t>KQ65QND88AFXKR</t>
  </si>
  <si>
    <t>KQ85QD80AFXKR</t>
  </si>
  <si>
    <t>KQ85LSD03AFXKR</t>
  </si>
  <si>
    <t>KQ77SD95AFXKR</t>
  </si>
  <si>
    <t>KQ83SD85AEXKR</t>
  </si>
  <si>
    <t>KQ77SD85AEXKR</t>
  </si>
  <si>
    <t>KQ83SC90AEXKR</t>
  </si>
  <si>
    <t>KQ77SC9SAFXKR</t>
  </si>
  <si>
    <t>KQ85QND87AFXKR</t>
  </si>
  <si>
    <t>KQ75QND87AFXKR</t>
  </si>
  <si>
    <t>KQ65QND87AFXKR</t>
  </si>
  <si>
    <t>KQ85QC85AFXKR</t>
  </si>
  <si>
    <t>HW-Q990D/KR</t>
  </si>
  <si>
    <t>KQ75QNC700FXKR</t>
  </si>
  <si>
    <t>HW-Q930D/KR</t>
  </si>
  <si>
    <t>KU98UD9000FXKR</t>
  </si>
  <si>
    <t>KQ77SC95AFXKR</t>
  </si>
  <si>
    <t>KQ77SC90AFXKR</t>
  </si>
  <si>
    <t>KQ65SC9SAFXKR</t>
  </si>
  <si>
    <t>KQ85QNC88AFXKR</t>
  </si>
  <si>
    <t>KQ75QNC88AFXKR</t>
  </si>
  <si>
    <t>KQ100QNF80FXKR</t>
  </si>
  <si>
    <t>KQ65QNF70AFXKR</t>
  </si>
  <si>
    <t>LS43DM703UKXKR</t>
  </si>
  <si>
    <t>LS43DM702UKXKR</t>
  </si>
  <si>
    <t xml:space="preserve"> 동시구매시 혜택
조합① + 조합②</t>
    <phoneticPr fontId="2" type="noConversion"/>
  </si>
  <si>
    <t>KQ85QF8DAFXKR</t>
  </si>
  <si>
    <t>DF24CB9900DR</t>
  </si>
  <si>
    <t>HW-Q990F/KR</t>
  </si>
  <si>
    <t>HW-Q930F/KR</t>
  </si>
  <si>
    <t>HW-Q800F/KR</t>
  </si>
  <si>
    <t>TV</t>
    <phoneticPr fontId="2" type="noConversion"/>
  </si>
  <si>
    <t>AV</t>
    <phoneticPr fontId="2" type="noConversion"/>
  </si>
  <si>
    <t>프리스타일</t>
    <phoneticPr fontId="2" type="noConversion"/>
  </si>
  <si>
    <t>삼성</t>
  </si>
  <si>
    <t>Lifestyle TV + 베젤 동시구매</t>
  </si>
  <si>
    <t>베젤</t>
  </si>
  <si>
    <t>사운드바</t>
  </si>
  <si>
    <t xml:space="preserve"> 삼성 </t>
  </si>
  <si>
    <t>TV+사운드바 동시구매</t>
  </si>
  <si>
    <t xml:space="preserve">      </t>
  </si>
  <si>
    <t xml:space="preserve">     </t>
  </si>
  <si>
    <t>KQ75QF8DAFXKR</t>
  </si>
  <si>
    <t>스마트모니터+무빙스탠드</t>
  </si>
  <si>
    <t>스마트 모니터</t>
  </si>
  <si>
    <t>무빙스탠드</t>
  </si>
  <si>
    <t>TV + 2nd TV 동시 구매</t>
    <phoneticPr fontId="2" type="noConversion"/>
  </si>
  <si>
    <t>RQ58C9471AP</t>
  </si>
  <si>
    <t>RQ58C9452AP</t>
  </si>
  <si>
    <t>RQ49C94W1AP</t>
  </si>
  <si>
    <t>RQ49C9412W6</t>
  </si>
  <si>
    <t>RQ49C94W101</t>
  </si>
  <si>
    <t>RQ42C94G2AP</t>
  </si>
  <si>
    <t>RQ42C99T2W5G</t>
  </si>
  <si>
    <t>RQ42C99T2APG</t>
  </si>
  <si>
    <t>RQ38C9991APG</t>
  </si>
  <si>
    <t>RQ34C8945APG</t>
  </si>
  <si>
    <t>RQ34C7935AP</t>
  </si>
  <si>
    <t>RQ34C7835AP</t>
  </si>
  <si>
    <t>RQ33C741101</t>
  </si>
  <si>
    <t>RQ33C74B101</t>
  </si>
  <si>
    <t>RQ33C7411AP</t>
  </si>
  <si>
    <t>RQ33C74B1AP</t>
  </si>
  <si>
    <t>RQ58DB94U1AP</t>
  </si>
  <si>
    <t>RQ49DB9421AP</t>
  </si>
  <si>
    <t>RQ49DB9421EW</t>
  </si>
  <si>
    <t>RQ42DB94J2AP</t>
  </si>
  <si>
    <t>RQ42DB99T2APG</t>
  </si>
  <si>
    <t>RQ33DB7411AP</t>
  </si>
  <si>
    <t>RQ33DB7411W6</t>
  </si>
  <si>
    <t>RQ33DB7411EW</t>
  </si>
  <si>
    <t>RQ33DB74B1AP</t>
  </si>
  <si>
    <t>RQ33DB74B1EW</t>
  </si>
  <si>
    <t>RQ42C94J2AP</t>
  </si>
  <si>
    <t>DW60BB837UAP</t>
  </si>
  <si>
    <t>DW60BB815UAP</t>
  </si>
  <si>
    <t>DW60BB815WAP</t>
  </si>
  <si>
    <t>DW60BB837WAP</t>
  </si>
  <si>
    <t>DW30CB305CW0</t>
  </si>
  <si>
    <t>DW30CB305CE0</t>
  </si>
  <si>
    <t>DW60DB711W01</t>
  </si>
  <si>
    <t>DW90F79F1UAP</t>
  </si>
  <si>
    <t>DW90F79F1U01</t>
  </si>
  <si>
    <t>NZ63CB6526XW</t>
  </si>
  <si>
    <t>NZ63CB6526XP</t>
  </si>
  <si>
    <t>NZ63CB6526XG</t>
  </si>
  <si>
    <t>NZ63CB6556XW</t>
  </si>
  <si>
    <t>NZ63CB6556XP</t>
  </si>
  <si>
    <t>NZ63CB6556XG</t>
  </si>
  <si>
    <t>NZ63DB857CAV</t>
  </si>
  <si>
    <t>NZ63DB807CAV</t>
  </si>
  <si>
    <t>NZ63DB503CFT</t>
  </si>
  <si>
    <t>NZ63DB657CABS</t>
  </si>
  <si>
    <t>NZ63DB657CAWS</t>
  </si>
  <si>
    <t>NZ63DB607CABS</t>
  </si>
  <si>
    <t>NZ63DB607CAWS</t>
  </si>
  <si>
    <t>NZ63DB553CFT</t>
  </si>
  <si>
    <t>MO22A7797CW2</t>
  </si>
  <si>
    <t>RF10B9955W5G</t>
  </si>
  <si>
    <t>RF60C99Z1APG</t>
  </si>
  <si>
    <t>RF60C99Z1W5G</t>
  </si>
  <si>
    <t>RF80DB934201</t>
  </si>
  <si>
    <t>RF85C91DE01</t>
  </si>
  <si>
    <t>RF85C91M1AP</t>
  </si>
  <si>
    <t>RF85C96X2AP</t>
  </si>
  <si>
    <t>RF85C97Y2AP</t>
  </si>
  <si>
    <t>RF85DB91D1AP</t>
  </si>
  <si>
    <t>RF85DB91F1W6</t>
  </si>
  <si>
    <t>RF85DB91F1AP</t>
  </si>
  <si>
    <t>RF85DB9421AP</t>
  </si>
  <si>
    <t>RF85DB9792AP</t>
  </si>
  <si>
    <t>RF91DB90LE01</t>
  </si>
  <si>
    <t>RF91DB91K101</t>
  </si>
  <si>
    <t>RF91DB92K1AP</t>
  </si>
  <si>
    <t>RM70F91R1A</t>
  </si>
  <si>
    <t>RM70F91R1ZG</t>
  </si>
  <si>
    <t>RF60DB9KF1W6</t>
  </si>
  <si>
    <t>RF60DB9KF1AP</t>
  </si>
  <si>
    <t>RF60DB9KF2AP</t>
  </si>
  <si>
    <t>RM90F91B1W</t>
  </si>
  <si>
    <t>RM90F91D1W</t>
  </si>
  <si>
    <t>RM80F91K1A</t>
  </si>
  <si>
    <t>RM80F91K1X</t>
  </si>
  <si>
    <t>RM80F91K1XJ</t>
  </si>
  <si>
    <t>RM80F91L1A</t>
  </si>
  <si>
    <t>RM80F91L1XJ</t>
  </si>
  <si>
    <t>RM80F91M1XJ</t>
  </si>
  <si>
    <t>RM70F90M2A</t>
  </si>
  <si>
    <t>RM70F90M2D</t>
  </si>
  <si>
    <t>RM70F90M2ZG</t>
  </si>
  <si>
    <t>RM70F90M2W</t>
  </si>
  <si>
    <t>RM70F90M2X</t>
  </si>
  <si>
    <t>RM90F64E2W</t>
  </si>
  <si>
    <t>RM70F64M2A</t>
  </si>
  <si>
    <t>RM70F64M2ZG</t>
  </si>
  <si>
    <t>RM70F64M2X</t>
  </si>
  <si>
    <t>RM70F64Q1A</t>
  </si>
  <si>
    <t>RM70F64Q1XJ</t>
  </si>
  <si>
    <t>RM70F64R1A</t>
  </si>
  <si>
    <t>RM70F64R1ZG</t>
  </si>
  <si>
    <t>RM70F64R1G</t>
  </si>
  <si>
    <t>RM70F64R1X</t>
  </si>
  <si>
    <t>RM70F63R2A</t>
  </si>
  <si>
    <t>RM70F63R2Z</t>
  </si>
  <si>
    <t>RM70F63R2G</t>
  </si>
  <si>
    <t>RM70F63R2ZG</t>
  </si>
  <si>
    <t>RM70F63R2W</t>
  </si>
  <si>
    <t>RM70F63R2XJ</t>
  </si>
  <si>
    <t>RF60DB9Z71APG</t>
  </si>
  <si>
    <t>RR40C8995APG</t>
  </si>
  <si>
    <t>RM80F91H1X</t>
  </si>
  <si>
    <t>RR40C89A5APG</t>
  </si>
  <si>
    <t>RM80F91H1J</t>
  </si>
  <si>
    <t>RR40C9981APG</t>
  </si>
  <si>
    <t>RM80F91H1W</t>
  </si>
  <si>
    <t>RZ34C8865APG</t>
  </si>
  <si>
    <t>RZ38C9891APG</t>
  </si>
  <si>
    <t>RW33C99B1TFG</t>
  </si>
  <si>
    <t>RM70F91RMA</t>
  </si>
  <si>
    <t>RM70F91RMXJ</t>
  </si>
  <si>
    <t>RF60C901101</t>
  </si>
  <si>
    <t>RF60C9011AP</t>
  </si>
  <si>
    <t>RF60DB9342AP</t>
  </si>
  <si>
    <t>RR40C7985AP</t>
  </si>
  <si>
    <t>RR40C7885AP</t>
  </si>
  <si>
    <t>RZ34C7855AP</t>
  </si>
  <si>
    <t>RZ34C7955AP</t>
  </si>
  <si>
    <t>RM80F64L2A</t>
  </si>
  <si>
    <t>RZ24C59G0AP</t>
  </si>
  <si>
    <t>RM80F64L2X</t>
  </si>
  <si>
    <t>RZ24C58G0AP</t>
  </si>
  <si>
    <t>RM80F64L2XJ</t>
  </si>
  <si>
    <t>RZ24C58E0AP</t>
  </si>
  <si>
    <t>RZ24C59E0AP</t>
  </si>
  <si>
    <t>RK70F42F2X</t>
  </si>
  <si>
    <t>RK70F42F2XJ</t>
  </si>
  <si>
    <t>RK80F42C2W</t>
  </si>
  <si>
    <t>RK80F42E2A</t>
  </si>
  <si>
    <t>RK70F42F2ZG</t>
  </si>
  <si>
    <t>DV10BB8440GB</t>
  </si>
  <si>
    <t>SKK-ANV</t>
  </si>
  <si>
    <t>SKK-ANE</t>
  </si>
  <si>
    <t>SKK-ANW</t>
  </si>
  <si>
    <t>DV20CB8800BE</t>
  </si>
  <si>
    <t>DV20CB8690BV</t>
  </si>
  <si>
    <t>SKK-ANB</t>
  </si>
  <si>
    <t>DV20CB8600BV</t>
  </si>
  <si>
    <t>SKK-ANG</t>
  </si>
  <si>
    <t>DV20CB8600BE</t>
  </si>
  <si>
    <t>SKK-ANK</t>
  </si>
  <si>
    <t>DV20CB8600BW</t>
  </si>
  <si>
    <t>SKK-SRV</t>
  </si>
  <si>
    <t>SKK-SRW</t>
  </si>
  <si>
    <t>DV20B9760CV</t>
  </si>
  <si>
    <t>SKK-ALV</t>
  </si>
  <si>
    <t>DV20B9760CE</t>
  </si>
  <si>
    <t>SKK-ALE</t>
  </si>
  <si>
    <t>DV20B9760CF</t>
  </si>
  <si>
    <t>DV20B9720BB</t>
  </si>
  <si>
    <t>SKK-ALF</t>
  </si>
  <si>
    <t>DV20B8710BW</t>
  </si>
  <si>
    <t>SKK-ALS</t>
  </si>
  <si>
    <t>DV17B8720BE</t>
  </si>
  <si>
    <t>SKK-ALP</t>
  </si>
  <si>
    <t>DV17B8720BW</t>
  </si>
  <si>
    <t>SKK-ALW</t>
  </si>
  <si>
    <t>DV19A9740CS</t>
  </si>
  <si>
    <t>SKK-ATV</t>
  </si>
  <si>
    <t>DV19A9740CE</t>
  </si>
  <si>
    <t>SKK-ATE</t>
  </si>
  <si>
    <t>DV17T8740BV</t>
  </si>
  <si>
    <t>SKK-ATP</t>
  </si>
  <si>
    <t>DV16T8740BV</t>
  </si>
  <si>
    <t>SKK-ATW</t>
  </si>
  <si>
    <t>DV17T8520BV</t>
  </si>
  <si>
    <t>SKK-UDE</t>
  </si>
  <si>
    <t>DV16T8520BP</t>
  </si>
  <si>
    <t>SKK-UDW</t>
  </si>
  <si>
    <t>SKK-AKV</t>
  </si>
  <si>
    <t>SKK-AKE</t>
  </si>
  <si>
    <t>DV17CB6600BE</t>
  </si>
  <si>
    <t>SKK-AKP</t>
  </si>
  <si>
    <t>DV17CB6600BV</t>
  </si>
  <si>
    <t>SKK-TKV</t>
  </si>
  <si>
    <t>SKK-TKW</t>
  </si>
  <si>
    <t>DV20CB8800BV</t>
  </si>
  <si>
    <t>SKK-HKV</t>
  </si>
  <si>
    <t>SKK-HK</t>
  </si>
  <si>
    <t>SKK-HKP</t>
  </si>
  <si>
    <t>SKK-DKV</t>
  </si>
  <si>
    <t>SKK-DK</t>
  </si>
  <si>
    <t>SKK-DKX</t>
  </si>
  <si>
    <t>SKK-DD</t>
  </si>
  <si>
    <t>WD90F25CHB</t>
  </si>
  <si>
    <t>WD90F25AHS</t>
  </si>
  <si>
    <t>WD90F25AHT</t>
  </si>
  <si>
    <t>WD90F25AHY</t>
  </si>
  <si>
    <t>삼성전자</t>
    <phoneticPr fontId="2" type="noConversion"/>
  </si>
  <si>
    <t>KQ55SF90AFXKR</t>
  </si>
  <si>
    <t>KQ55SF85AEXKR</t>
  </si>
  <si>
    <t>SP-LFCF3LAXXKR</t>
  </si>
  <si>
    <t>KQ48SF90AEXKR</t>
  </si>
  <si>
    <t>KQ55LSD03AFXKR</t>
  </si>
  <si>
    <t>KQ50LSD03AFXKR</t>
  </si>
  <si>
    <t>KQ43LSD03AFXKR</t>
  </si>
  <si>
    <t>KQ85LSB03AFXKR</t>
  </si>
  <si>
    <t>KQ55LSB03AFXKR</t>
  </si>
  <si>
    <t>KQ50LSB03AFXKR</t>
  </si>
  <si>
    <t>LS43FM702UKXKR</t>
  </si>
  <si>
    <t>LS43FM703UKXKR</t>
  </si>
  <si>
    <t>LS32FM702UKXKR</t>
  </si>
  <si>
    <t>LS32FM703UKXKR</t>
  </si>
  <si>
    <t>HW-QS700F/KR</t>
  </si>
  <si>
    <t>에어컨</t>
  </si>
  <si>
    <t>AX100DB990EDD</t>
  </si>
  <si>
    <t>VR7MD97716G</t>
  </si>
  <si>
    <t>VS28D950ACB</t>
  </si>
  <si>
    <t>AJ040RXH4BC1</t>
  </si>
  <si>
    <t>AJ040MXHNBC1</t>
  </si>
  <si>
    <t>AJ050RXH5BC1</t>
  </si>
  <si>
    <t>AJ050MXHNBC1</t>
  </si>
  <si>
    <t>Neo QLED 8K</t>
  </si>
  <si>
    <t>KQ85QND850FXKR</t>
  </si>
  <si>
    <t>KQ75QND850FXKR</t>
  </si>
  <si>
    <t>KQ65QND850FXKR</t>
  </si>
  <si>
    <t>KQ65QND800FXKR</t>
  </si>
  <si>
    <t>Neo QLED 4K</t>
  </si>
  <si>
    <t>KQ85QND95AFXKR</t>
  </si>
  <si>
    <t>KQ75QND95AFXKR</t>
  </si>
  <si>
    <t>KQ65QND95AFXKR</t>
  </si>
  <si>
    <t>KQ85QND86BFXKR</t>
  </si>
  <si>
    <t>KQ75QND86BFXKR</t>
  </si>
  <si>
    <t>KQ65QND86BFXKR</t>
  </si>
  <si>
    <t>KQ85QND80BFXKR</t>
  </si>
  <si>
    <t>KQ75QND80BFXKR</t>
  </si>
  <si>
    <t>KQ65QND80BFXKR</t>
  </si>
  <si>
    <t>KQ85QNDX1AFXKR</t>
  </si>
  <si>
    <t>KQ75QNDX1AFXKR</t>
  </si>
  <si>
    <t>KQ65QNDX1AFXKR</t>
  </si>
  <si>
    <t>OLED</t>
  </si>
  <si>
    <t>KQ77SD8VAEXKR</t>
  </si>
  <si>
    <t>QLED 4K(8시리즈)</t>
  </si>
  <si>
    <t>KQ85QD83AFXKR</t>
  </si>
  <si>
    <t>UHD</t>
  </si>
  <si>
    <t>Lifestyle TV</t>
  </si>
  <si>
    <t>SP-LPDU9SAXXKR</t>
  </si>
  <si>
    <t>SP-LPDU7SAXXKR</t>
  </si>
  <si>
    <t>KQ98QNF990FXKR</t>
  </si>
  <si>
    <t>KQ98QNF90AFXKR</t>
  </si>
  <si>
    <t>KQ85QNF990FXKR</t>
  </si>
  <si>
    <t>KQ85QNF930FXKR</t>
  </si>
  <si>
    <t>KQ85QNF900FXKR</t>
  </si>
  <si>
    <t>KQ85QNF95AFXKR</t>
  </si>
  <si>
    <t>KQ85QNF90AFXKR</t>
  </si>
  <si>
    <t>KQ85QNF9XAFXKR</t>
  </si>
  <si>
    <t>KQ85QNF85AFXKR</t>
  </si>
  <si>
    <t>KQ85QNF80AFXKR</t>
  </si>
  <si>
    <t>KQ85QNF83AFXKR</t>
  </si>
  <si>
    <t>KQ85QNF70AFXKR</t>
  </si>
  <si>
    <t>KQ85QNFE1AFXKR</t>
  </si>
  <si>
    <t>KQ85LSF03WFXKR</t>
  </si>
  <si>
    <t>KQ75QNF990FXKR</t>
  </si>
  <si>
    <t>KQ75QNF930FXKR</t>
  </si>
  <si>
    <t>KQ75QNF900FXKR</t>
  </si>
  <si>
    <t>KQ75QNF95AFXKR</t>
  </si>
  <si>
    <t>KQ75QNF90AFXKR</t>
  </si>
  <si>
    <t>KQ75QNF9XAFXKR</t>
  </si>
  <si>
    <t>KQ75QNF85AFXKR</t>
  </si>
  <si>
    <t>KQ75QNF80AFXKR</t>
  </si>
  <si>
    <t>KQ75QNF83AFXKR</t>
  </si>
  <si>
    <t>KQ75QNF70AFXKR</t>
  </si>
  <si>
    <t>KQ75QNFE1AFXKR</t>
  </si>
  <si>
    <t>KQ75LSF03WFXKR</t>
  </si>
  <si>
    <t>KQ65SF95AFXKR</t>
  </si>
  <si>
    <t>KQ65QNF90AFXKR</t>
  </si>
  <si>
    <t>KQ65QNF85AFXKR</t>
  </si>
  <si>
    <t>KQ65QNF80AFXKR</t>
  </si>
  <si>
    <t>KQ65QNF83AFXKR</t>
  </si>
  <si>
    <t>KQ65QNFE1AFXKR</t>
  </si>
  <si>
    <t>KQ65LSF03WFXKR</t>
  </si>
  <si>
    <t>SP-LPDF5SAXXKR</t>
  </si>
  <si>
    <t>Micro RGB</t>
  </si>
  <si>
    <t>KMR115MRF95XKR</t>
  </si>
  <si>
    <t>KQ115QNF90FXKR</t>
  </si>
  <si>
    <t>QLED</t>
  </si>
  <si>
    <t>KQ85QF8AAFXKR</t>
  </si>
  <si>
    <t>KQ75QF8AAFXKR</t>
  </si>
  <si>
    <t>2nd TV</t>
  </si>
  <si>
    <t>KQ43QND90AFXKR</t>
  </si>
  <si>
    <t>KQ48SD90AEXKR</t>
  </si>
  <si>
    <t>KQ55SD90AFXKR</t>
  </si>
  <si>
    <t>SP-LSBP3LAXKR</t>
  </si>
  <si>
    <t>KQ50QND90AFXKR</t>
  </si>
  <si>
    <t>KQ55SD95AFXKR</t>
  </si>
  <si>
    <t>KQ55QND90AFXKR</t>
  </si>
  <si>
    <t>KQ55QND87AFXKR</t>
  </si>
  <si>
    <t>KQ65LSD01AFXKR</t>
  </si>
  <si>
    <t>KQ55LSD01AFXKR</t>
  </si>
  <si>
    <t>KQ55QND85BFXKR</t>
  </si>
  <si>
    <t>KQ55QND95AFXKR</t>
  </si>
  <si>
    <t>KQ50LSD01AFXKR</t>
  </si>
  <si>
    <t>KQ43LSD01AFXKR</t>
  </si>
  <si>
    <t>KQ55SF95AFXKR</t>
  </si>
  <si>
    <t>KQ55QNF90AFXKR</t>
  </si>
  <si>
    <t>KQ55QNF85AFXKR</t>
  </si>
  <si>
    <t>KQ55QNF80AFXKR</t>
  </si>
  <si>
    <t>KQ55QNF70AFXKR</t>
  </si>
  <si>
    <t>KQ55LSF03AFXKR</t>
  </si>
  <si>
    <t>KQ50QNF90AFXKR</t>
  </si>
  <si>
    <t>KQ50QNF80AFXKR</t>
  </si>
  <si>
    <t>KQ50LSF03AFXKR</t>
  </si>
  <si>
    <t>KQ42SF90AEXKR</t>
  </si>
  <si>
    <t>KQ43QNF90AFXKR</t>
  </si>
  <si>
    <t>KQ43LSF03AFXKR</t>
  </si>
  <si>
    <t>KQ55QF7AAFXKR</t>
  </si>
  <si>
    <t>KQ50QF7AAFXKR</t>
  </si>
  <si>
    <t>KQ43QF7AAFXKR</t>
  </si>
  <si>
    <t>모니터</t>
  </si>
  <si>
    <t>LS32DM703UKXKR</t>
  </si>
  <si>
    <t>LS32BM703UKXKR</t>
  </si>
  <si>
    <t>LS43FM1E3UKXKR</t>
  </si>
  <si>
    <t>LS32FM902SKXKR</t>
  </si>
  <si>
    <t>LS32FM803UKXKR</t>
  </si>
  <si>
    <t>LS32FM1E3UKXKR</t>
  </si>
  <si>
    <t>LS57CG950NKXKR</t>
  </si>
  <si>
    <t>LS32DG802SKXKR</t>
  </si>
  <si>
    <t>LS49DG952SKXKR</t>
  </si>
  <si>
    <t>오디오</t>
  </si>
  <si>
    <t>24년형 삼성사운드바</t>
  </si>
  <si>
    <t>HW-S800D/KR</t>
  </si>
  <si>
    <t>HW-Q9PEC/KR</t>
  </si>
  <si>
    <t>HW-S801D/KR</t>
  </si>
  <si>
    <t>25년형 삼성사운드바</t>
  </si>
  <si>
    <t>4도어</t>
  </si>
  <si>
    <t>4도어 허브</t>
  </si>
  <si>
    <t>RF85DB95A2APW</t>
  </si>
  <si>
    <t>RF85DB9581APW</t>
  </si>
  <si>
    <t>RF60DB9K41AP</t>
  </si>
  <si>
    <t>1도어</t>
  </si>
  <si>
    <t>RF85DB9481AP</t>
  </si>
  <si>
    <t>Infinite Line 4도어</t>
  </si>
  <si>
    <t>RF60DB9A62APG</t>
  </si>
  <si>
    <t>RF91DB90LEW6</t>
  </si>
  <si>
    <t>RF85DB9131AP</t>
  </si>
  <si>
    <t>Infinite Line 1도어</t>
  </si>
  <si>
    <t>RF85DB91A1AP</t>
  </si>
  <si>
    <t>RF80DB934235</t>
  </si>
  <si>
    <t>RF85C9481AP</t>
  </si>
  <si>
    <t>RR40C9971APG</t>
  </si>
  <si>
    <t>RF80DB9342H6</t>
  </si>
  <si>
    <t>RF60DB9KF201</t>
  </si>
  <si>
    <t>RF60C90R1AP</t>
  </si>
  <si>
    <t>RF85C9241AP</t>
  </si>
  <si>
    <t>RF60C93T2AP</t>
  </si>
  <si>
    <t>RF85C98Y2AP</t>
  </si>
  <si>
    <t>RF85C91N1W6</t>
  </si>
  <si>
    <t>RF85C91J1AP</t>
  </si>
  <si>
    <t>RF60C9012AP</t>
  </si>
  <si>
    <t>RF60C9013AP</t>
  </si>
  <si>
    <t>RR40A7985AP</t>
  </si>
  <si>
    <t>RF85C9101AP</t>
  </si>
  <si>
    <t>RF85C91N1QW</t>
  </si>
  <si>
    <t>RF85C900E01</t>
  </si>
  <si>
    <t>RF85C9581APW</t>
  </si>
  <si>
    <t>RF60B91U2AP</t>
  </si>
  <si>
    <t>RF10B9955APG</t>
  </si>
  <si>
    <t>RR40B9981APG</t>
  </si>
  <si>
    <t>RF10T9965BTG</t>
  </si>
  <si>
    <t>RF10B9965W5G</t>
  </si>
  <si>
    <t>RF10T9935MZS</t>
  </si>
  <si>
    <t>RF10B9935W5K</t>
  </si>
  <si>
    <t>RF10T9965QMS</t>
  </si>
  <si>
    <t>RR40B9981APK</t>
  </si>
  <si>
    <t>RR40B9971APG</t>
  </si>
  <si>
    <t>RR40B9971APK</t>
  </si>
  <si>
    <t>RF60B99Z2APG</t>
  </si>
  <si>
    <t>RF85B97A1APW</t>
  </si>
  <si>
    <t>RF85B92M1AP</t>
  </si>
  <si>
    <t>RF85B98B1AP</t>
  </si>
  <si>
    <t>RF85B96X1AP</t>
  </si>
  <si>
    <t>RF85B96W1AP</t>
  </si>
  <si>
    <t>RF85B92N1AP</t>
  </si>
  <si>
    <t>RF85B94J2AP</t>
  </si>
  <si>
    <t>RF85B92313Y</t>
  </si>
  <si>
    <t>RF85A92N1AP</t>
  </si>
  <si>
    <t>RF85A92P16TB</t>
  </si>
  <si>
    <t>RF85B9241H5</t>
  </si>
  <si>
    <t>RF85A92W1AP</t>
  </si>
  <si>
    <t>RF60B91C3AP</t>
  </si>
  <si>
    <t>RF85A92M1AP</t>
  </si>
  <si>
    <t>RF85A98B1AP</t>
  </si>
  <si>
    <t>RF85DB91F1H6</t>
  </si>
  <si>
    <t>4도어 9인치</t>
  </si>
  <si>
    <t>4도어 키친핏</t>
  </si>
  <si>
    <t>BMF</t>
  </si>
  <si>
    <t>RB33R8798SR</t>
  </si>
  <si>
    <t>RB33R8798SRL</t>
  </si>
  <si>
    <t>냉동고</t>
  </si>
  <si>
    <t>RZ34C88A5APG</t>
  </si>
  <si>
    <t>RZ34A7855AP</t>
  </si>
  <si>
    <t>RZ38B9891APG</t>
  </si>
  <si>
    <t>RZ38B9881APG</t>
  </si>
  <si>
    <t>RZ38B9881APK</t>
  </si>
  <si>
    <t>RZ38B9871APG</t>
  </si>
  <si>
    <t>RZ38B9871APK</t>
  </si>
  <si>
    <t>RZ34A7955AP</t>
  </si>
  <si>
    <t>와인</t>
  </si>
  <si>
    <t>RW33B9981APG</t>
  </si>
  <si>
    <t>RW33B9981APK</t>
  </si>
  <si>
    <t>RW33B99B1TFG</t>
  </si>
  <si>
    <t>RW24C5920AP</t>
  </si>
  <si>
    <t>변온</t>
  </si>
  <si>
    <t>RZ24A59E0AP</t>
  </si>
  <si>
    <t>4도어 F/S</t>
  </si>
  <si>
    <t>RQ58C949EAP</t>
  </si>
  <si>
    <t>BESPOKE 3도어</t>
  </si>
  <si>
    <t>RQ33C7441AP</t>
  </si>
  <si>
    <t>인피니트 4도어</t>
  </si>
  <si>
    <t>4도어 K/F</t>
  </si>
  <si>
    <t>RQ42C94C2AP</t>
  </si>
  <si>
    <t>4도어 F/S  NON-BE</t>
  </si>
  <si>
    <t>RQ49C9001S9</t>
  </si>
  <si>
    <t>3도어 NON-BE</t>
  </si>
  <si>
    <t>RQ33C71G1S9</t>
  </si>
  <si>
    <t>인피니트 1도어(RR8000)</t>
  </si>
  <si>
    <t>RQ49C9401AP</t>
  </si>
  <si>
    <t>RQ49C9431AP</t>
  </si>
  <si>
    <t>RQ42C94Q2AP</t>
  </si>
  <si>
    <t>인피니트 1도어(RR9000)</t>
  </si>
  <si>
    <t>RQ58C94N1AP</t>
  </si>
  <si>
    <t>RQ33C71G3S9</t>
  </si>
  <si>
    <t>RQ42C94B2AP</t>
  </si>
  <si>
    <t>RQ33C71G2S9</t>
  </si>
  <si>
    <t>RQ49C9002S9</t>
  </si>
  <si>
    <t>RQ42C94R2AP</t>
  </si>
  <si>
    <t>RQ49C9003S9</t>
  </si>
  <si>
    <t>RQ33C74B2AP</t>
  </si>
  <si>
    <t>RQ34A7935AP</t>
  </si>
  <si>
    <t>RQ42B99T1APG</t>
  </si>
  <si>
    <t>RQ49C94Y1AP</t>
  </si>
  <si>
    <t>RQ49C9402W6</t>
  </si>
  <si>
    <t>RQ49C940201</t>
  </si>
  <si>
    <t>RQ49C9402AP</t>
  </si>
  <si>
    <t>RQ42B99T1APK</t>
  </si>
  <si>
    <t>RQ38B9981APG</t>
  </si>
  <si>
    <t>RQ42A94F1AP</t>
  </si>
  <si>
    <t>RQ42C94L3AP</t>
  </si>
  <si>
    <t>RQ33A74B1AP</t>
  </si>
  <si>
    <t>RQ48A94W1AP</t>
  </si>
  <si>
    <t>RQ58B94N1AP</t>
  </si>
  <si>
    <t>RQ58A9451AP</t>
  </si>
  <si>
    <t>RQ33A7402AP</t>
  </si>
  <si>
    <t>RQ58DB9471AP</t>
  </si>
  <si>
    <t>RQ49DB9431AP</t>
  </si>
  <si>
    <t>RQ49DB9411AP</t>
  </si>
  <si>
    <t>RQ49DB9401AP</t>
  </si>
  <si>
    <t>RQ49DB9402AP</t>
  </si>
  <si>
    <t>RQ49DB94Y1AP</t>
  </si>
  <si>
    <t>RQ49DB9401EW</t>
  </si>
  <si>
    <t>RQ49DB9401C4</t>
  </si>
  <si>
    <t>RQ49DB940101</t>
  </si>
  <si>
    <t>RQ49DB94H2AP</t>
  </si>
  <si>
    <t>RQ49DG9001S9</t>
  </si>
  <si>
    <t>RQ49DG9002S9</t>
  </si>
  <si>
    <t>RQ49DG9003S9</t>
  </si>
  <si>
    <t>RQ42DB94Q2AP</t>
  </si>
  <si>
    <t>RQ42DB94L3AP</t>
  </si>
  <si>
    <t>RQ42DB94R3AP</t>
  </si>
  <si>
    <t>RQ42DB94R2AP</t>
  </si>
  <si>
    <t>RQ33DB7441AP</t>
  </si>
  <si>
    <t>RQ33DB74E1AP</t>
  </si>
  <si>
    <t>RQ33DB74C1AP</t>
  </si>
  <si>
    <t>RQ33DB74D2AP</t>
  </si>
  <si>
    <t>RQ33DG71G1S9</t>
  </si>
  <si>
    <t>RQ33DB74D201</t>
  </si>
  <si>
    <t>RK80F42C2XJ</t>
  </si>
  <si>
    <t>RK80F42C2A</t>
  </si>
  <si>
    <t>RK70F42M2A</t>
  </si>
  <si>
    <t>RK70F42M2ZG</t>
  </si>
  <si>
    <t>RK70F42M3Z</t>
  </si>
  <si>
    <t>MWO</t>
  </si>
  <si>
    <t>인피니트 12인용</t>
  </si>
  <si>
    <t>DW60BB997GAP</t>
  </si>
  <si>
    <t>DW60BB997UAP</t>
  </si>
  <si>
    <t>DW60A9775UG</t>
  </si>
  <si>
    <t>14인용 TBI</t>
  </si>
  <si>
    <t>DW60BG837B00</t>
  </si>
  <si>
    <t>14인용</t>
  </si>
  <si>
    <t>DW60BB800UAP</t>
  </si>
  <si>
    <t>12인용 TBI</t>
  </si>
  <si>
    <t>DW60B8155BB</t>
  </si>
  <si>
    <t>카운터탑</t>
  </si>
  <si>
    <t>DW99F79E1UAP</t>
  </si>
  <si>
    <t>DW99F79E1B00</t>
  </si>
  <si>
    <t>DW90F79P1UAP</t>
  </si>
  <si>
    <t>DW90F79P1U01</t>
  </si>
  <si>
    <t>DW80F75K1UAP</t>
  </si>
  <si>
    <t>DW80F75L1U01</t>
  </si>
  <si>
    <t>DW80F73Y1FEW</t>
  </si>
  <si>
    <t>3구</t>
  </si>
  <si>
    <t>CC99F63G1DS</t>
  </si>
  <si>
    <t>CC99F63U1DS</t>
  </si>
  <si>
    <t>NZ64B9899RA</t>
  </si>
  <si>
    <t>NZ64B9899RB</t>
  </si>
  <si>
    <t>NZ63B5056CB</t>
  </si>
  <si>
    <t>NZ63CB6506XW</t>
  </si>
  <si>
    <t>NZ63CB6506XG</t>
  </si>
  <si>
    <t>NZ63CB6506XP</t>
  </si>
  <si>
    <t>후드</t>
  </si>
  <si>
    <t>인피니트 후드</t>
  </si>
  <si>
    <t>NK90B8970AB</t>
  </si>
  <si>
    <t>비스포크 후드</t>
  </si>
  <si>
    <t>NK90B8770AW</t>
  </si>
  <si>
    <t>NK90B8970AC</t>
  </si>
  <si>
    <t>NK90B8770AG</t>
  </si>
  <si>
    <t>NK90B8770AP</t>
  </si>
  <si>
    <t>세탁건조기</t>
  </si>
  <si>
    <t>WD99F25AHR</t>
  </si>
  <si>
    <t>WD90F25CHY</t>
  </si>
  <si>
    <t>WD90F25CHW</t>
  </si>
  <si>
    <t>WF90F25ABS</t>
  </si>
  <si>
    <t>WF90F25ABT</t>
  </si>
  <si>
    <t>WF90F25ABY</t>
  </si>
  <si>
    <t>WF90F25BBS</t>
  </si>
  <si>
    <t>WF90F25BBT</t>
  </si>
  <si>
    <t>WF90F25BBY</t>
  </si>
  <si>
    <t>WF90F25ADS</t>
  </si>
  <si>
    <t>WF90F25ADT</t>
  </si>
  <si>
    <t>WF90F25ADY</t>
  </si>
  <si>
    <t>WF80F25BDT</t>
  </si>
  <si>
    <t>WF80F25BDY</t>
  </si>
  <si>
    <t>WF80F25BDW</t>
  </si>
  <si>
    <t>DF24CB9900NR</t>
  </si>
  <si>
    <t>DF24CB9900GR</t>
  </si>
  <si>
    <t>DF24CB9900CR</t>
  </si>
  <si>
    <t>DF24CB9900AR</t>
  </si>
  <si>
    <t>DF24CB9600MR</t>
  </si>
  <si>
    <t>DF24CB9600AR</t>
  </si>
  <si>
    <t>갤러리3</t>
  </si>
  <si>
    <t>AF19DX838WSN</t>
  </si>
  <si>
    <t>클래식</t>
  </si>
  <si>
    <t>AF17C7932WZBN</t>
  </si>
  <si>
    <t>창문형</t>
  </si>
  <si>
    <t>AW06C7155WWA</t>
  </si>
  <si>
    <t>갤러리2</t>
  </si>
  <si>
    <t>AF17DX738WSN</t>
  </si>
  <si>
    <t>AF17CX738EZN</t>
  </si>
  <si>
    <t>AF19DX838VSN</t>
  </si>
  <si>
    <t>AF19C7932WZBN</t>
  </si>
  <si>
    <t>AF17B7538WZN</t>
  </si>
  <si>
    <t>AF19B7534WZN</t>
  </si>
  <si>
    <t>AF19CX838EZN</t>
  </si>
  <si>
    <t>AF18DX839WSN</t>
  </si>
  <si>
    <t>AF17DX738GZN</t>
  </si>
  <si>
    <t>AF19B7534TZN</t>
  </si>
  <si>
    <t>AF17B7538TZN</t>
  </si>
  <si>
    <t>AF19C7932TZN</t>
  </si>
  <si>
    <t>AF19DX838BZN</t>
  </si>
  <si>
    <t>AF17CX738WSN</t>
  </si>
  <si>
    <t>AF17DX738BZN</t>
  </si>
  <si>
    <t>갤러리1</t>
  </si>
  <si>
    <t>AF18DX939BZN</t>
  </si>
  <si>
    <t>AF19CX838WSN</t>
  </si>
  <si>
    <t>AF18DX936WFN</t>
  </si>
  <si>
    <t>AF17DX738VSN</t>
  </si>
  <si>
    <t>AF20DX936WFN</t>
  </si>
  <si>
    <t>AF19CX838ASN</t>
  </si>
  <si>
    <t>AF25DX936VFN</t>
  </si>
  <si>
    <t>AF19DX838GZN</t>
  </si>
  <si>
    <t>AW06C7155EWA</t>
  </si>
  <si>
    <t>AF19DX837WFN</t>
  </si>
  <si>
    <t>AF19CX838BSN</t>
  </si>
  <si>
    <t>AW06C7155TWA</t>
  </si>
  <si>
    <t>AF25DX934WAN</t>
  </si>
  <si>
    <t>AF17B7538BZN</t>
  </si>
  <si>
    <t>AF18B9937RZN</t>
  </si>
  <si>
    <t>AF17C7932TSN</t>
  </si>
  <si>
    <t>AF17CX738FZN</t>
  </si>
  <si>
    <t>AF19CX838FZN</t>
  </si>
  <si>
    <t>AF18DX839BZN</t>
  </si>
  <si>
    <t>AF17B7939WZBN</t>
  </si>
  <si>
    <t>AF17DX737WFN</t>
  </si>
  <si>
    <t>AF25CX934AAN</t>
  </si>
  <si>
    <t>AF19BX733LSN</t>
  </si>
  <si>
    <t>AF19B7534GZN</t>
  </si>
  <si>
    <t>AF19B7534BZN</t>
  </si>
  <si>
    <t>AF20DX939BZN</t>
  </si>
  <si>
    <t>AF19AX772LFN</t>
  </si>
  <si>
    <t>AF19BX738WSN</t>
  </si>
  <si>
    <t>AF17CX738GSN</t>
  </si>
  <si>
    <t>AW06C7155GWA</t>
  </si>
  <si>
    <t>AF19AX771VFEN</t>
  </si>
  <si>
    <t>AF17CX738ASN</t>
  </si>
  <si>
    <t>AF20BX934WAN</t>
  </si>
  <si>
    <t>AF19CX837AFN</t>
  </si>
  <si>
    <t>AF17BX738LSN</t>
  </si>
  <si>
    <t>핏홈</t>
  </si>
  <si>
    <t>AH19CFX87NST</t>
  </si>
  <si>
    <t>AH19CFX87NSY</t>
  </si>
  <si>
    <t>AH19CFX87NSW</t>
  </si>
  <si>
    <t>AF20CX939WSN</t>
  </si>
  <si>
    <t>AF25B9937RZN</t>
  </si>
  <si>
    <t>AF19B7934WZBN</t>
  </si>
  <si>
    <t>AF20CX936PFN</t>
  </si>
  <si>
    <t>AF19A7974BZEN</t>
  </si>
  <si>
    <t>AF19B7932RFN</t>
  </si>
  <si>
    <t>AF19C7932TSN</t>
  </si>
  <si>
    <t>AF19C7932ASN</t>
  </si>
  <si>
    <t>AF17C7932ASN</t>
  </si>
  <si>
    <t>AF17BX738WSN</t>
  </si>
  <si>
    <t>AF19C7932AZBN</t>
  </si>
  <si>
    <t>AF17B7538GZN</t>
  </si>
  <si>
    <t>AF20CX936GFN</t>
  </si>
  <si>
    <t>AF17CX737BFN</t>
  </si>
  <si>
    <t>AF17CX735AFN</t>
  </si>
  <si>
    <t>AF19CX890AFN</t>
  </si>
  <si>
    <t>AF19BX732ZFN</t>
  </si>
  <si>
    <t>AF23CX936BFN</t>
  </si>
  <si>
    <t>AF19CX837EFN</t>
  </si>
  <si>
    <t>AF18CX836AFN</t>
  </si>
  <si>
    <t>AF17CX790AFN</t>
  </si>
  <si>
    <t>AF25BX934WAN</t>
  </si>
  <si>
    <t>AF25BX936CFN</t>
  </si>
  <si>
    <t>AF23BX936NFN</t>
  </si>
  <si>
    <t>AF20BX936ZFN</t>
  </si>
  <si>
    <t>AF20BX936SFN</t>
  </si>
  <si>
    <t>AF19BX735NFN</t>
  </si>
  <si>
    <t>AF19BX737WFN</t>
  </si>
  <si>
    <t>AF19BX732SFN</t>
  </si>
  <si>
    <t>AF18BX836NFN</t>
  </si>
  <si>
    <t>AF17BX735NFN</t>
  </si>
  <si>
    <t>AF17BX737WFN</t>
  </si>
  <si>
    <t>AF19BX890EFN</t>
  </si>
  <si>
    <t>AF19BX890WFN</t>
  </si>
  <si>
    <t>AF19BX890NFN</t>
  </si>
  <si>
    <t>AF19DX837VFN</t>
  </si>
  <si>
    <t>AF19DX890WFN</t>
  </si>
  <si>
    <t>AF17DX790WFN</t>
  </si>
  <si>
    <t>AF17AX773VZN</t>
  </si>
  <si>
    <t>AF20AX978YZN</t>
  </si>
  <si>
    <t>AF18AX778EZEN</t>
  </si>
  <si>
    <t>AF17AX772BFN</t>
  </si>
  <si>
    <t>AF17CX738PSN</t>
  </si>
  <si>
    <t>AF19AX773BZN</t>
  </si>
  <si>
    <t>AF17CX738ESN</t>
  </si>
  <si>
    <t>AF23BX939VSN</t>
  </si>
  <si>
    <t>AF20BX939ESN</t>
  </si>
  <si>
    <t>AF19BX733ESN</t>
  </si>
  <si>
    <t>AF18BX839WSN</t>
  </si>
  <si>
    <t>AF25AX975VAEN</t>
  </si>
  <si>
    <t>AF25AX977CFN</t>
  </si>
  <si>
    <t>AF23AX977VFN</t>
  </si>
  <si>
    <t>AF23AX977CFN</t>
  </si>
  <si>
    <t>AF20AX978VZN</t>
  </si>
  <si>
    <t>AF20AX978FZN</t>
  </si>
  <si>
    <t>AF19AX771VFN</t>
  </si>
  <si>
    <t>AF19AX773VZN</t>
  </si>
  <si>
    <t>AF19AX773YZN</t>
  </si>
  <si>
    <t>AF19AX773YZEN</t>
  </si>
  <si>
    <t>AF19AX773FZN</t>
  </si>
  <si>
    <t>AF17AX772NFN</t>
  </si>
  <si>
    <t>AF17AX773BZN</t>
  </si>
  <si>
    <t>AF17AX773EZN</t>
  </si>
  <si>
    <t>AF17AX773YZN</t>
  </si>
  <si>
    <t>AF19DX838BSN</t>
  </si>
  <si>
    <t>AW05B5171WWA</t>
  </si>
  <si>
    <t>AF19B7934AZBN</t>
  </si>
  <si>
    <t>AF17C7932AZBN</t>
  </si>
  <si>
    <t>AF19B7934BSN</t>
  </si>
  <si>
    <t>AW05B5171GWA</t>
  </si>
  <si>
    <t>AF19A7974ESN</t>
  </si>
  <si>
    <t>AF19B7934ASBN</t>
  </si>
  <si>
    <t>AF19TX772TFEN</t>
  </si>
  <si>
    <t>AF19C7932GSN</t>
  </si>
  <si>
    <t>AF19B7934GSN</t>
  </si>
  <si>
    <t>AF19B7934ASN</t>
  </si>
  <si>
    <t>AF19B7934TSN</t>
  </si>
  <si>
    <t>AF17B7939ASN</t>
  </si>
  <si>
    <t>AF17B7939AZBN</t>
  </si>
  <si>
    <t>AF17B7939GZN</t>
  </si>
  <si>
    <t>AW05B5171BWA</t>
  </si>
  <si>
    <t>AW05B5171TWA</t>
  </si>
  <si>
    <t>AF19A7974BSN</t>
  </si>
  <si>
    <t>AF19A7974BSEN</t>
  </si>
  <si>
    <t>AF19A7974GSN</t>
  </si>
  <si>
    <t>AF19A7974BZN</t>
  </si>
  <si>
    <t>AF19A7974GZEN</t>
  </si>
  <si>
    <t>AF17A7972RFN</t>
  </si>
  <si>
    <t>AF17A7974BSEN</t>
  </si>
  <si>
    <t>AF17A7974GSN</t>
  </si>
  <si>
    <t>AF17A7974NSN</t>
  </si>
  <si>
    <t>AF17A7974BZEN</t>
  </si>
  <si>
    <t>AF17A7974TZN</t>
  </si>
  <si>
    <t>AF25TX975CAN</t>
  </si>
  <si>
    <t>AF19TX975CAN</t>
  </si>
  <si>
    <t>AF25TX977GFN</t>
  </si>
  <si>
    <t>AF23TX978MZN</t>
  </si>
  <si>
    <t>AF19TX978MZN</t>
  </si>
  <si>
    <t>AF19TX772FFN</t>
  </si>
  <si>
    <t>AF17TX772FFN</t>
  </si>
  <si>
    <t>AF23RX975CAN</t>
  </si>
  <si>
    <t>AF19RX772BZN</t>
  </si>
  <si>
    <t>AF18RX977BZN</t>
  </si>
  <si>
    <t>AF18RX975CAN</t>
  </si>
  <si>
    <t>AF80F25D29WN</t>
  </si>
  <si>
    <t>AF80F25D28BN</t>
  </si>
  <si>
    <t>AF80F20D28WN</t>
  </si>
  <si>
    <t>AF80F20D27CN</t>
  </si>
  <si>
    <t>AF80F18D28WN</t>
  </si>
  <si>
    <t>AF80F18D27CN</t>
  </si>
  <si>
    <t>AF80F19D26WN</t>
  </si>
  <si>
    <t>AF80F19D25WN</t>
  </si>
  <si>
    <t>AF80F19D25BN</t>
  </si>
  <si>
    <t>AF80F19D25CN</t>
  </si>
  <si>
    <t>AF80F19D24CN</t>
  </si>
  <si>
    <t>AF80F19D24SN</t>
  </si>
  <si>
    <t>AF80F18D25WN</t>
  </si>
  <si>
    <t>AF80F18D24CN</t>
  </si>
  <si>
    <t>AF80F17D23WN</t>
  </si>
  <si>
    <t>AF80F17D22WN</t>
  </si>
  <si>
    <t>AF80F17D22BN</t>
  </si>
  <si>
    <t>AF80F17D21CN</t>
  </si>
  <si>
    <t>AF80F17D21SN</t>
  </si>
  <si>
    <t>AF70F19D25WN</t>
  </si>
  <si>
    <t>AF70F19D25BN</t>
  </si>
  <si>
    <t>AF70F19D24LN</t>
  </si>
  <si>
    <t>AF70F19D24RN</t>
  </si>
  <si>
    <t>AF70F19D24IN</t>
  </si>
  <si>
    <t>AF70F19D24EN</t>
  </si>
  <si>
    <t>AF70F17D25WN</t>
  </si>
  <si>
    <t>AF70F17D25BN</t>
  </si>
  <si>
    <t>AF70F17D24LN</t>
  </si>
  <si>
    <t>AF70F17D24WN</t>
  </si>
  <si>
    <t>AF70F17D24IN</t>
  </si>
  <si>
    <t>AF70F17D24EN</t>
  </si>
  <si>
    <t>AF70F19D11WN</t>
  </si>
  <si>
    <t>AF70F19D11GN</t>
  </si>
  <si>
    <t>AF70F19D11LN</t>
  </si>
  <si>
    <t>AF70F19D11BN</t>
  </si>
  <si>
    <t>AF70F17D11WN</t>
  </si>
  <si>
    <t>AF70F17D11GN</t>
  </si>
  <si>
    <t>AF70F17D11LN</t>
  </si>
  <si>
    <t>AF70F17D11BN</t>
  </si>
  <si>
    <t>벽걸이</t>
  </si>
  <si>
    <t>AR80F07D21WNKO</t>
  </si>
  <si>
    <t>AR60F07D11WNKO</t>
  </si>
  <si>
    <t>AR60F07D12WNKO</t>
  </si>
  <si>
    <t>AR60F09D11WNKO</t>
  </si>
  <si>
    <t>AR60F11D11WNKO</t>
  </si>
  <si>
    <t>AR60F13D12WNKO</t>
  </si>
  <si>
    <t>AR60F15D12WNKO</t>
  </si>
  <si>
    <t>AR60F07C11WNKO</t>
  </si>
  <si>
    <t>AR60F07C12WNKO</t>
  </si>
  <si>
    <t>AR60F07C14WNKO</t>
  </si>
  <si>
    <t>AR60F09C13WNKO</t>
  </si>
  <si>
    <t>AR60F11C13WNKO</t>
  </si>
  <si>
    <t>AR60F13C13WNKO</t>
  </si>
  <si>
    <t>AR60F16C14WNKO</t>
  </si>
  <si>
    <t>AR07C9180HZN</t>
  </si>
  <si>
    <t>AR07D9181HZN</t>
  </si>
  <si>
    <t>AR09C9180HZN</t>
  </si>
  <si>
    <t>AR09D9150HZN</t>
  </si>
  <si>
    <t>AR11C9180HZN</t>
  </si>
  <si>
    <t>AR11D9150HZN</t>
  </si>
  <si>
    <t>AR13C9180HZN</t>
  </si>
  <si>
    <t>AR13D9150HZN</t>
  </si>
  <si>
    <t>AR07D9150HZN</t>
  </si>
  <si>
    <t>DVM Home</t>
  </si>
  <si>
    <t>AJ060MXHNBC1</t>
  </si>
  <si>
    <t>AJ030RXH4BC1</t>
  </si>
  <si>
    <t>AJ030MXHNBC1</t>
  </si>
  <si>
    <t>AJ025RXH3BC1</t>
  </si>
  <si>
    <t>AJ025MXHNBC1</t>
  </si>
  <si>
    <t>AH40BMA57DBX</t>
  </si>
  <si>
    <t>AH30BMA57DBX</t>
  </si>
  <si>
    <t>AM040BXMDBH1</t>
  </si>
  <si>
    <t>AM080MXMDHC1</t>
  </si>
  <si>
    <t>AM100MXMDHC1</t>
  </si>
  <si>
    <t>AM120MXMDHC1</t>
  </si>
  <si>
    <t>AM140MXMDHC1</t>
  </si>
  <si>
    <t>AM035FXMRHC1</t>
  </si>
  <si>
    <t>AM080HXLDHC1</t>
  </si>
  <si>
    <t>AM050FXMRHC1</t>
  </si>
  <si>
    <t>AM050TXMRBC1</t>
  </si>
  <si>
    <t>AM075FXMRHC1</t>
  </si>
  <si>
    <t>AM120MXVRHC1</t>
  </si>
  <si>
    <t>공기청정기</t>
  </si>
  <si>
    <t>큐브 Infinite Line</t>
  </si>
  <si>
    <t>AX033DB990UGD</t>
  </si>
  <si>
    <t>AX100DB990UDD</t>
  </si>
  <si>
    <t>BESPOKE 큐브</t>
  </si>
  <si>
    <t>AX033DB990EGD</t>
  </si>
  <si>
    <t>AX100DB900EDD</t>
  </si>
  <si>
    <t>AX100DB900UDD</t>
  </si>
  <si>
    <t>AP90F08163UDD</t>
  </si>
  <si>
    <t>AP90F08163EDD</t>
  </si>
  <si>
    <t>AX106CB860SLD</t>
  </si>
  <si>
    <t>AX123CB870HGD</t>
  </si>
  <si>
    <t>AX106CB870HED</t>
  </si>
  <si>
    <t>AX070CB870HED</t>
  </si>
  <si>
    <t>AX106CB850SND</t>
  </si>
  <si>
    <t>AX123CB870HND</t>
  </si>
  <si>
    <t>AX123CB850SLD</t>
  </si>
  <si>
    <t>AX123CB860SED</t>
  </si>
  <si>
    <t>AX106CB850SED</t>
  </si>
  <si>
    <t>AX123B850HGD</t>
  </si>
  <si>
    <t>AX123B870HBD</t>
  </si>
  <si>
    <t>AX106B850SGD</t>
  </si>
  <si>
    <t>AX106B850HSD</t>
  </si>
  <si>
    <t>AX106CB870HLD</t>
  </si>
  <si>
    <t>청소기(스틱)</t>
  </si>
  <si>
    <t>제트 VS30C973***</t>
  </si>
  <si>
    <t>VS30D973JSG</t>
  </si>
  <si>
    <t>VS30D973JSE</t>
  </si>
  <si>
    <t>VS30D973ISS</t>
  </si>
  <si>
    <t>VS30D973ISH</t>
  </si>
  <si>
    <t>VS30D973ISG</t>
  </si>
  <si>
    <t>VS30D973ISE</t>
  </si>
  <si>
    <t>VS30D973HRK</t>
  </si>
  <si>
    <t>VS30D973HRH</t>
  </si>
  <si>
    <t>VS30D973HRG</t>
  </si>
  <si>
    <t>VS30D973HRE</t>
  </si>
  <si>
    <t>제트 VS28C973I**</t>
  </si>
  <si>
    <t>VS28C973ISG</t>
  </si>
  <si>
    <t>VS28C973ISE</t>
  </si>
  <si>
    <t>VS28C973GSK</t>
  </si>
  <si>
    <t>제트 VS28C973E**</t>
  </si>
  <si>
    <t>VS28C973ESS</t>
  </si>
  <si>
    <t>VS28C973ESK</t>
  </si>
  <si>
    <t>VS28C973ESH</t>
  </si>
  <si>
    <t>VS28C973ESG</t>
  </si>
  <si>
    <t>VS28C973ESE</t>
  </si>
  <si>
    <t>제트 VS28C973D**</t>
  </si>
  <si>
    <t>VS28C973DRS</t>
  </si>
  <si>
    <t>VS28C973DRK</t>
  </si>
  <si>
    <t>VS28C973DRH</t>
  </si>
  <si>
    <t>VS28C973DRE</t>
  </si>
  <si>
    <t>제트 VS25C972***</t>
  </si>
  <si>
    <t>VS25C972HRG</t>
  </si>
  <si>
    <t>VS25C972HRE</t>
  </si>
  <si>
    <t>VS25C972DRS</t>
  </si>
  <si>
    <t>VS25C972DRH</t>
  </si>
  <si>
    <t>VS25C972DRG</t>
  </si>
  <si>
    <t>VS25C972DRE</t>
  </si>
  <si>
    <t>제트 VS25C970***</t>
  </si>
  <si>
    <t>VS25C970DWS</t>
  </si>
  <si>
    <t>VS25C970DWH</t>
  </si>
  <si>
    <t>VS25C970DWG</t>
  </si>
  <si>
    <t>VS25C970DWE</t>
  </si>
  <si>
    <t>제트 VS28*</t>
  </si>
  <si>
    <t>VS28D952HCB</t>
  </si>
  <si>
    <t>VS28D952HCA</t>
  </si>
  <si>
    <t>VS28D952DCB</t>
  </si>
  <si>
    <t>VS28D952DCA</t>
  </si>
  <si>
    <t>VS28D950HCB</t>
  </si>
  <si>
    <t>VS28D950HCA</t>
  </si>
  <si>
    <t>VS28D950ACA</t>
  </si>
  <si>
    <t>제트 VS20*</t>
  </si>
  <si>
    <t>VS20B957G5U</t>
  </si>
  <si>
    <t>VS20B957G5G</t>
  </si>
  <si>
    <t>VS20B957G5E</t>
  </si>
  <si>
    <t>VS20B957G5C</t>
  </si>
  <si>
    <t>VS20B957F5E</t>
  </si>
  <si>
    <t>VS20B957E5E</t>
  </si>
  <si>
    <t>VS20B957E4E</t>
  </si>
  <si>
    <t>VS20B957D5G</t>
  </si>
  <si>
    <t>VS20B957D5E</t>
  </si>
  <si>
    <t>VS20B957D4G</t>
  </si>
  <si>
    <t>VS20B957D4E</t>
  </si>
  <si>
    <t>VS20B956D5G</t>
  </si>
  <si>
    <t>VS20B956D5E</t>
  </si>
  <si>
    <t>제트 VS90F40*</t>
  </si>
  <si>
    <t>VS90F40CNG</t>
  </si>
  <si>
    <t>VS90F40CNK</t>
  </si>
  <si>
    <t>VS90F40CRG</t>
  </si>
  <si>
    <t>VS90F40CRK</t>
  </si>
  <si>
    <t>VS90F40CSG</t>
  </si>
  <si>
    <t>VS90F40CSK</t>
  </si>
  <si>
    <t>청소기(로봇)</t>
  </si>
  <si>
    <t>로봇</t>
  </si>
  <si>
    <t>VR7MD97716H</t>
  </si>
  <si>
    <t>VR7MD96516G</t>
  </si>
  <si>
    <t>VR7MD96516H</t>
  </si>
  <si>
    <t>VR50T95936W</t>
  </si>
  <si>
    <t>VR50T95936U</t>
  </si>
  <si>
    <t>VR50T95936C</t>
  </si>
  <si>
    <t>VR50T95935W</t>
  </si>
  <si>
    <t>VR50T95935P</t>
  </si>
  <si>
    <t>VR50T95935B</t>
  </si>
  <si>
    <t>VR50C95A46S</t>
  </si>
  <si>
    <t>VR50C95A46A</t>
  </si>
  <si>
    <t>VR50B9563AG</t>
  </si>
  <si>
    <t>VR50B9563AE</t>
  </si>
  <si>
    <t>VR30T85514W</t>
  </si>
  <si>
    <t>VR30T85514U</t>
  </si>
  <si>
    <t>RK70F58M1ZG</t>
  </si>
  <si>
    <t>RK70F49D1A</t>
  </si>
  <si>
    <t>RK70F49F1XJ</t>
  </si>
  <si>
    <t>DW30FB305CW0</t>
  </si>
  <si>
    <t>DW30FB305CE0</t>
  </si>
  <si>
    <t>LS32FM700MKXKR</t>
  </si>
  <si>
    <t>RK80F58B1A</t>
  </si>
  <si>
    <t>RK80F49C1W</t>
  </si>
  <si>
    <t>RK80F49C1X</t>
  </si>
  <si>
    <t>RK80F49E1A</t>
  </si>
  <si>
    <t>RK70F49F1X</t>
  </si>
  <si>
    <t>RK70F49F1ZG</t>
  </si>
  <si>
    <t>RK70F49F2A</t>
  </si>
  <si>
    <t>RK70F49M1A</t>
  </si>
  <si>
    <t>RK70F49M1ZG</t>
  </si>
  <si>
    <t>RK70F49M2Z</t>
  </si>
  <si>
    <t>RK70F49F1DD</t>
  </si>
  <si>
    <t>SKK-NWG</t>
    <phoneticPr fontId="2" type="noConversion"/>
  </si>
  <si>
    <t>DV90F22CDT</t>
  </si>
  <si>
    <t>DV80F20DDY</t>
  </si>
  <si>
    <t>DV90F22CDS</t>
  </si>
  <si>
    <t>DV90F22CDY</t>
  </si>
  <si>
    <t>KQ65QF8DAFXKR</t>
  </si>
  <si>
    <t>KQ55QF8DAFXKR</t>
  </si>
  <si>
    <t>VG-SCFA85WTBKR</t>
  </si>
  <si>
    <t>VG-SCFA85TKBKR</t>
  </si>
  <si>
    <t>VG-SCFA85BWBKR</t>
  </si>
  <si>
    <t>VG-SCFA85BEBKR</t>
  </si>
  <si>
    <t>VG-SCFC85SGMKR</t>
  </si>
  <si>
    <t>KQ75LSD03AFXKR</t>
  </si>
  <si>
    <t>VG-SCFA75WTBKR</t>
  </si>
  <si>
    <t>VG-SCFA75TKBKR</t>
  </si>
  <si>
    <t>VG-SCFA75BWBKR</t>
  </si>
  <si>
    <t>VG-SCFC75SGMKR</t>
  </si>
  <si>
    <t>KQ65LSD03AFXKR</t>
  </si>
  <si>
    <t>VG-SCFA65WTBKR</t>
  </si>
  <si>
    <t>VG-SCFA65TKBKR</t>
  </si>
  <si>
    <t>VG-SCFA65BWBKR</t>
  </si>
  <si>
    <t>VG-SCFA65WTCKR</t>
  </si>
  <si>
    <t>VG-SCFA65TRCKR</t>
  </si>
  <si>
    <t>VG-SCFC65SGMKR</t>
  </si>
  <si>
    <t>VG-SCFA55WTBKR</t>
  </si>
  <si>
    <t>VG-SCFA55TKBKR</t>
  </si>
  <si>
    <t>VG-SCFA55BWBKR</t>
  </si>
  <si>
    <t>VG-SCFA55WTCKR</t>
  </si>
  <si>
    <t>VG-SCFA55TRCKR</t>
  </si>
  <si>
    <t>VG-SCFC55SGMKR</t>
  </si>
  <si>
    <t>VG-SCFA50WTBKR</t>
  </si>
  <si>
    <t>VG-SCFA50TKBKR</t>
  </si>
  <si>
    <t>VG-SCFA50BWBKR</t>
  </si>
  <si>
    <t>VG-SCFC50SGMKR</t>
  </si>
  <si>
    <t>VG-SCFA43WTBKR</t>
  </si>
  <si>
    <t>VG-SCFA43TKBKR</t>
  </si>
  <si>
    <t>VG-SCFA43BWBKR</t>
  </si>
  <si>
    <t>VG-SCFC43SGMKR</t>
  </si>
  <si>
    <t>KQ75LSB03AFXKR</t>
  </si>
  <si>
    <t>KQ65LSB03AFXKR</t>
  </si>
  <si>
    <t>KQ43LSB03AFXKR</t>
  </si>
  <si>
    <t>KQ32LSC03BFXKR</t>
  </si>
  <si>
    <t>VG-SCFC32BWBKR</t>
  </si>
  <si>
    <t>VG-SCFC32TKBKR</t>
  </si>
  <si>
    <t>VG-SCFC32WTBKR</t>
  </si>
  <si>
    <t>KQ32LSB03BFXKR</t>
  </si>
  <si>
    <t>VG-SCFT32BW/KR</t>
  </si>
  <si>
    <t>VG-SCFT32WT/KR</t>
  </si>
  <si>
    <t>VG-SCFT32BE/KR</t>
  </si>
  <si>
    <t>HW-Q600C/KR</t>
  </si>
  <si>
    <t>HW-S55B/KR</t>
  </si>
  <si>
    <t>KQ75QD80AFXKR</t>
  </si>
  <si>
    <t>KQ65QD80AFXKR</t>
  </si>
  <si>
    <t>KQ75QC85AFXKR</t>
  </si>
  <si>
    <t>KQ75QC80AFXKR</t>
  </si>
  <si>
    <t>HW-Q600F/KR</t>
  </si>
  <si>
    <t>LS32CM503EKXKR</t>
  </si>
  <si>
    <t>HA-MNS-STAND-WH</t>
  </si>
  <si>
    <t>LS32CM502EKXKR</t>
  </si>
  <si>
    <t>HA-MNS-STAND-BK</t>
  </si>
  <si>
    <t>LS32DM503EKXKR</t>
  </si>
  <si>
    <t>LS32DM502EKXKR</t>
  </si>
  <si>
    <t>HA-MNS-S43-WH</t>
  </si>
  <si>
    <t>HA-MNS-S43-BK</t>
  </si>
  <si>
    <t>LS32FM503EKXKR</t>
    <phoneticPr fontId="2" type="noConversion"/>
  </si>
  <si>
    <t>LS32FM502EKXKR</t>
    <phoneticPr fontId="2" type="noConversion"/>
  </si>
  <si>
    <t>LS32FM503EKXKR</t>
  </si>
  <si>
    <t>HA-MTS2S32WHT</t>
  </si>
  <si>
    <t>HA-MTS2S32BLK</t>
  </si>
  <si>
    <t>HA-MTS2S32WHT</t>
    <phoneticPr fontId="2" type="noConversion"/>
  </si>
  <si>
    <t>HA-MTS3S32WHT</t>
  </si>
  <si>
    <t>HA-MTS2S43WHT</t>
  </si>
  <si>
    <t>HA-MTS2S43BLK</t>
  </si>
  <si>
    <t>HA-MTS2S32WRM</t>
  </si>
  <si>
    <t>KQ77SF8EAEXKR</t>
    <phoneticPr fontId="2" type="noConversion"/>
  </si>
  <si>
    <t>KQ48SF9EAEXKR</t>
  </si>
  <si>
    <t>TV + 무빙스타일 스탠드 동시 구매</t>
    <phoneticPr fontId="2" type="noConversion"/>
  </si>
  <si>
    <t>HA-TOS2S48BLK</t>
  </si>
  <si>
    <t xml:space="preserve"> 동시구매시 혜택
조합① + 조합② </t>
  </si>
  <si>
    <t>TV + 프리스타일</t>
    <phoneticPr fontId="2" type="noConversion"/>
  </si>
  <si>
    <t>KQ65SF8EAEXKR</t>
    <phoneticPr fontId="2" type="noConversion"/>
  </si>
  <si>
    <t>KQ77SF8EAEXKR</t>
  </si>
  <si>
    <t>KQ83SF8EBEXKR</t>
  </si>
  <si>
    <t>KQ65SF8EAEXKR</t>
  </si>
  <si>
    <t>KQ83SF85BEXKR</t>
  </si>
  <si>
    <t>KQ55SF8EAEXKR</t>
  </si>
  <si>
    <t>KQ42SF9EAEXKR</t>
  </si>
  <si>
    <t>RF85DB90F1AP</t>
  </si>
  <si>
    <t>RM70F90Q2A</t>
  </si>
  <si>
    <t>RM70F90Q2ZG</t>
  </si>
  <si>
    <t>RM70F90Q2D</t>
  </si>
  <si>
    <t>RM70F90R2A</t>
  </si>
  <si>
    <t>RM70F90R2D</t>
  </si>
  <si>
    <t>RM70F90R2ZG</t>
  </si>
  <si>
    <t>RM70F90R2W</t>
  </si>
  <si>
    <t>KQ42SF9EAEXKR</t>
    <phoneticPr fontId="2" type="noConversion"/>
  </si>
  <si>
    <t>HA-MTS1S43BLK</t>
    <phoneticPr fontId="2" type="noConversion"/>
  </si>
  <si>
    <t>LS32DM703UKXKR</t>
    <phoneticPr fontId="2" type="noConversion"/>
  </si>
  <si>
    <t>LS32DM702UKXKR</t>
    <phoneticPr fontId="2" type="noConversion"/>
  </si>
  <si>
    <t>DV17CB6600BW</t>
    <phoneticPr fontId="2" type="noConversion"/>
  </si>
  <si>
    <t>DV20CB8800BW</t>
    <phoneticPr fontId="2" type="noConversion"/>
  </si>
  <si>
    <t>단품포인트</t>
    <phoneticPr fontId="2" type="noConversion"/>
  </si>
  <si>
    <t>KU27LSFM7AXXKR</t>
  </si>
  <si>
    <t>KQ85QNF95BFXKR</t>
  </si>
  <si>
    <t>KQ85QNF90BFXKR</t>
  </si>
  <si>
    <t>KQ75QNF90BFXKR</t>
  </si>
  <si>
    <t>KQ85QNF85BFXKR</t>
  </si>
  <si>
    <t>KQ75QNF85BFXKR</t>
  </si>
  <si>
    <t>KQ85QNF70BFXKR</t>
  </si>
  <si>
    <t>KQ75QNF70BFXKR</t>
  </si>
  <si>
    <t xml:space="preserve">일반에어컨+공청기 </t>
    <phoneticPr fontId="2" type="noConversion"/>
  </si>
  <si>
    <t>일반에어컨</t>
    <phoneticPr fontId="2" type="noConversion"/>
  </si>
  <si>
    <t>공청기</t>
    <phoneticPr fontId="2" type="noConversion"/>
  </si>
  <si>
    <t>KQ85QNF85BFXKR</t>
    <phoneticPr fontId="2" type="noConversion"/>
  </si>
  <si>
    <t>KQ83SF90AEXKR</t>
    <phoneticPr fontId="2" type="noConversion"/>
  </si>
  <si>
    <t>KQ98QF7AAFXKR</t>
  </si>
  <si>
    <t>RM70F63M2A</t>
  </si>
  <si>
    <t>RM70F63M2Z</t>
  </si>
  <si>
    <t>스마트모니터</t>
  </si>
  <si>
    <t>게이밍모니터</t>
  </si>
  <si>
    <t>AP90H10198EDD</t>
  </si>
  <si>
    <t>AP90H10198UDD</t>
  </si>
  <si>
    <t>AP90H10198MDD</t>
  </si>
  <si>
    <t>AP90H10163EDD</t>
  </si>
  <si>
    <t>AP90H03193EGD</t>
  </si>
  <si>
    <t>AP90H03193UGD</t>
  </si>
  <si>
    <t>AP90H03193MGD</t>
  </si>
  <si>
    <t>청소기</t>
    <phoneticPr fontId="2" type="noConversion"/>
  </si>
  <si>
    <t>정수기</t>
  </si>
  <si>
    <t>RWP90H15ANW</t>
  </si>
  <si>
    <t>RWP90H15ANC</t>
  </si>
  <si>
    <t>RWP90H15ANB</t>
  </si>
  <si>
    <t>카운터탑 냉/온/정수</t>
  </si>
  <si>
    <t>RWP70F15ANW</t>
  </si>
  <si>
    <t>RWP70F15ANC</t>
  </si>
  <si>
    <t>RWP70F15ANB</t>
  </si>
  <si>
    <t>언더싱크 냉/온/정수</t>
  </si>
  <si>
    <t>RWP54421BF8M</t>
  </si>
  <si>
    <t>RWP54421BF7M</t>
  </si>
  <si>
    <t>RWP54421BF6M</t>
  </si>
  <si>
    <t>갤러리Pro</t>
  </si>
  <si>
    <t>AF90H25D36WN</t>
  </si>
  <si>
    <t>AF90H22D36WN</t>
  </si>
  <si>
    <t>AF90H22D35WN</t>
  </si>
  <si>
    <t>AF90H22D35EN</t>
  </si>
  <si>
    <t>AF90H19D38WN</t>
  </si>
  <si>
    <t>AF90H19D27SN</t>
  </si>
  <si>
    <t>AF90H19D35WN</t>
  </si>
  <si>
    <t>AF90H19D35EN</t>
  </si>
  <si>
    <t>AF90H19D24SN</t>
  </si>
  <si>
    <t>AF90H19D24GN</t>
  </si>
  <si>
    <t>AF90H17D38WN</t>
  </si>
  <si>
    <t>AF90H17D38EN</t>
  </si>
  <si>
    <t>AF90H17D27SN</t>
  </si>
  <si>
    <t>AF90H17D27GN</t>
  </si>
  <si>
    <t>AF90H17D35WN</t>
  </si>
  <si>
    <t>AF90H17D35EN</t>
  </si>
  <si>
    <t>AF90H17D24SN</t>
  </si>
  <si>
    <t>AF90H17D24GN</t>
  </si>
  <si>
    <t>AP90H03163EGD</t>
  </si>
  <si>
    <t>AI 스팀 2.0</t>
  </si>
  <si>
    <t>VR90F01SAG</t>
  </si>
  <si>
    <t>VR90F01AAG</t>
  </si>
  <si>
    <t>VR90F01AAH</t>
  </si>
  <si>
    <t>VR80F01SDG</t>
  </si>
  <si>
    <t>VR80F01ADG</t>
  </si>
  <si>
    <t>VR80F01ADH</t>
  </si>
  <si>
    <t>DF90H24R4D</t>
  </si>
  <si>
    <t>DF80H24R1C</t>
  </si>
  <si>
    <t>KQ98LSH03EFXKR</t>
  </si>
  <si>
    <t>KQ85LSH03EFXKR</t>
  </si>
  <si>
    <t>KQ75LSH03WFXKR</t>
  </si>
  <si>
    <t>KQ65LSH03EFXKR</t>
  </si>
  <si>
    <t>KMR100RH85FXKR</t>
  </si>
  <si>
    <t>KMR85RH95AFXKR</t>
  </si>
  <si>
    <t>KMR85RH9GAFXKR</t>
  </si>
  <si>
    <t>KMR85RH85AFXKR</t>
  </si>
  <si>
    <t>KMR75RH95AFXKR</t>
  </si>
  <si>
    <t>KMR75RH9GAFXKR</t>
  </si>
  <si>
    <t>KMR75RH85AFXKR</t>
  </si>
  <si>
    <t>KMR65RH95AFXKR</t>
  </si>
  <si>
    <t>KMR65RH9GAFXKR</t>
  </si>
  <si>
    <t>KMR65RH85AFXKR</t>
  </si>
  <si>
    <t>MiniLED</t>
  </si>
  <si>
    <t>KU100MH90FXKR</t>
  </si>
  <si>
    <t>KU85MH80AFXKR</t>
  </si>
  <si>
    <t>KU75MH80AFXKR</t>
  </si>
  <si>
    <t>Neo QLED</t>
  </si>
  <si>
    <t>KQ100QNH80FXKR</t>
  </si>
  <si>
    <t>KQ85QNH990FXKR</t>
  </si>
  <si>
    <t>KQ85LSH03WFXKR</t>
  </si>
  <si>
    <t>KQ85QNH80AFXKR</t>
  </si>
  <si>
    <t>KQ85QNH83AFXKR</t>
  </si>
  <si>
    <t>KQ85QNH70AFXKR</t>
  </si>
  <si>
    <t>KQ75QNH80AFXKR</t>
  </si>
  <si>
    <t>KQ75QNH83AFXKR</t>
  </si>
  <si>
    <t>KQ75QNH70AFXKR</t>
  </si>
  <si>
    <t>KQ75LSH03EFXKR</t>
  </si>
  <si>
    <t>KQ65LSH03WFXKR</t>
  </si>
  <si>
    <t>KQ65QNH80AFXKR</t>
  </si>
  <si>
    <t>KQ65QNH83AFXKR</t>
  </si>
  <si>
    <t>KQ65QNH70AFXKR</t>
  </si>
  <si>
    <t>KQ83SH95AEXKR</t>
  </si>
  <si>
    <t>KQ83SH90AEXKR</t>
  </si>
  <si>
    <t>KQ83SH93AEXKR</t>
  </si>
  <si>
    <t>KQ83SH85AEXKR</t>
  </si>
  <si>
    <t>KQ77SH95AFXKR</t>
  </si>
  <si>
    <t>KQ77SH90AFXKR</t>
  </si>
  <si>
    <t>KQ77SH93AFXKR</t>
  </si>
  <si>
    <t>KQ77SH85AEXKR</t>
  </si>
  <si>
    <t>KQ65SH95AFXKR</t>
  </si>
  <si>
    <t>KQ65SH90AFXKR</t>
  </si>
  <si>
    <t>KQ65SH93AFXKR</t>
  </si>
  <si>
    <t>KQ65SH85AEXKR</t>
  </si>
  <si>
    <t>KQ55LSH03EFXKR</t>
  </si>
  <si>
    <t>KQ43LSH03EFXKR</t>
  </si>
  <si>
    <t>KU55MH80AFXKR</t>
  </si>
  <si>
    <t>KQ55LSH03WFXKR</t>
  </si>
  <si>
    <t>KQ55QNH80AFXKR</t>
  </si>
  <si>
    <t>KQ55QNH70AFXKR</t>
  </si>
  <si>
    <t>KQ50QNH70AFXKR</t>
  </si>
  <si>
    <t>KQ43QNH70AFXKR</t>
  </si>
  <si>
    <t>KQ55SH95AFXKR</t>
  </si>
  <si>
    <t>KQ55SH90AFXKR</t>
  </si>
  <si>
    <t>KQ55SH93AFXKR</t>
  </si>
  <si>
    <t>KQ55SH85AEXKR</t>
  </si>
  <si>
    <t>KQ48SH90AEXKR</t>
  </si>
  <si>
    <t>KQ48SH85AEXKR</t>
  </si>
  <si>
    <t>KQ42SH90AEXKR</t>
  </si>
  <si>
    <t>26년형 삼성사운드바</t>
  </si>
  <si>
    <t>HW-Q800H/KR</t>
  </si>
  <si>
    <t>HW-QS90H/KR</t>
  </si>
  <si>
    <t>HW-Q930H/KR</t>
  </si>
  <si>
    <t>HW-Q990H/KR</t>
  </si>
  <si>
    <t>카운터탑 얼음</t>
  </si>
  <si>
    <t>CC80H63G1HS</t>
  </si>
  <si>
    <t>CC80H63U1HS</t>
  </si>
  <si>
    <t>24년 원바디 25Kg 세자투</t>
  </si>
  <si>
    <t>25년 분리형 25Kg Full</t>
  </si>
  <si>
    <t>25년 분리형 25Kg 세자투</t>
  </si>
  <si>
    <t>25년 세탁기 BESPOKE AI 콤보 (미드)</t>
  </si>
  <si>
    <t>25년 세탁기 BESPOKE AI 콤보 (인피니트)</t>
  </si>
  <si>
    <t>25년 세탁기 BESPOKE AI 콤보 (프리미엄)</t>
  </si>
  <si>
    <t>25년 원바디 25Kg Full</t>
  </si>
  <si>
    <t>25년 원바디 25Kg 세자투</t>
  </si>
  <si>
    <t>26년 세탁기 BESPOKE AI 콤보 (미드)</t>
  </si>
  <si>
    <t>WD90H25BHB</t>
  </si>
  <si>
    <t>WD90H25BHY</t>
  </si>
  <si>
    <t>WD90H25BHW</t>
  </si>
  <si>
    <t>26년 세탁기 BESPOKE AI 콤보 (프리미엄)</t>
  </si>
  <si>
    <t>WD90H25AHS</t>
  </si>
  <si>
    <t>WD90H25AHY</t>
  </si>
  <si>
    <t>WD90H25AHT</t>
  </si>
  <si>
    <t xml:space="preserve">26년 원바디 25Kg </t>
  </si>
  <si>
    <t>WF90F25BBW</t>
  </si>
  <si>
    <t>23년 에어드레서 대용량</t>
  </si>
  <si>
    <t>26년 에어드레서 대용량</t>
  </si>
  <si>
    <t>DF90H24R5C</t>
  </si>
  <si>
    <t>DF90H24R4B</t>
  </si>
  <si>
    <t>DF90H24R4P</t>
  </si>
  <si>
    <t>DF80H24R1D</t>
  </si>
  <si>
    <t>DF80H24R1B</t>
  </si>
  <si>
    <t>DF80H24R1P</t>
  </si>
  <si>
    <t>AF90H17D27GN</t>
    <phoneticPr fontId="2" type="noConversion"/>
  </si>
  <si>
    <t>AX033DB900EGD</t>
    <phoneticPr fontId="2" type="noConversion"/>
  </si>
  <si>
    <t>AX060CG500GED</t>
    <phoneticPr fontId="2" type="noConversion"/>
  </si>
  <si>
    <t>AX060CG500GBD　</t>
    <phoneticPr fontId="2" type="noConversion"/>
  </si>
  <si>
    <t>AP70F06103RVD</t>
    <phoneticPr fontId="2" type="noConversion"/>
  </si>
  <si>
    <t>RM90H91B1W</t>
  </si>
  <si>
    <t>RM90H64P2W</t>
  </si>
  <si>
    <t>KQ77SF95AFXKR</t>
    <phoneticPr fontId="2" type="noConversion"/>
  </si>
  <si>
    <t>KU55MH70AFXKR</t>
  </si>
  <si>
    <t>KU55MH75AFXKR</t>
  </si>
  <si>
    <t>KU50MH70AFXKR</t>
  </si>
  <si>
    <t>KU43MH70AFXKR</t>
  </si>
  <si>
    <t>RM70H91RMA</t>
  </si>
  <si>
    <t>RM70H91RMXJ</t>
  </si>
  <si>
    <t>RK70F49M2ZD</t>
  </si>
  <si>
    <t>RW99H33WN0</t>
  </si>
  <si>
    <t>WD90H25AHW</t>
  </si>
  <si>
    <t>LS49CG954SKXKR</t>
  </si>
  <si>
    <t>LS40FG750EKXKR</t>
  </si>
  <si>
    <t>KQ48SF9EAEXKR</t>
    <phoneticPr fontId="2" type="noConversion"/>
  </si>
  <si>
    <t>HW-Q600H/KR</t>
  </si>
  <si>
    <t>KU65MH80AFXKR</t>
  </si>
  <si>
    <t>2nd TV</t>
    <phoneticPr fontId="2" type="noConversion"/>
  </si>
  <si>
    <t>동시구매시 혜택
조합① ~ ⑤</t>
    <phoneticPr fontId="2" type="noConversion"/>
  </si>
  <si>
    <t>AP90H03193MGD</t>
    <phoneticPr fontId="2" type="noConversion"/>
  </si>
  <si>
    <t>공기청정기</t>
    <phoneticPr fontId="2" type="noConversion"/>
  </si>
  <si>
    <t>LS32HG732SKXKR</t>
  </si>
  <si>
    <t>LS32HG802SKXKR</t>
  </si>
  <si>
    <t>RM80H91S1X</t>
  </si>
  <si>
    <t>RM80H64S2A</t>
  </si>
  <si>
    <t>RQ33HB7411A</t>
  </si>
  <si>
    <t>(J)WD90H25AHS</t>
  </si>
  <si>
    <t>(J)WD90H25AHT</t>
  </si>
  <si>
    <t>(J)WD90H25AHY</t>
  </si>
  <si>
    <t>(J)WD90H25BHB</t>
  </si>
  <si>
    <t>(J)WD80H25BHY</t>
  </si>
  <si>
    <t>(J)WD90F25AHY</t>
  </si>
  <si>
    <t>(J)WD90F25AHS</t>
  </si>
  <si>
    <t>(J)WD90F25AHT</t>
  </si>
  <si>
    <t>(J)WD90F25CHB</t>
  </si>
  <si>
    <t>(J)WD80F25CHY</t>
  </si>
  <si>
    <t>WE712NS-INST</t>
  </si>
  <si>
    <t>WE712NT-INST</t>
  </si>
  <si>
    <t>WE712NY-INST</t>
  </si>
  <si>
    <t>WE712NB-INST</t>
  </si>
  <si>
    <t>세탁기+수납함</t>
    <phoneticPr fontId="2" type="noConversion"/>
  </si>
  <si>
    <t>AV</t>
  </si>
  <si>
    <t>KMR65RH85AFXKR</t>
    <phoneticPr fontId="2" type="noConversion"/>
  </si>
  <si>
    <t>KQ75QNH80AFXKR</t>
    <phoneticPr fontId="2" type="noConversion"/>
  </si>
  <si>
    <t>세탁기+공청기/제습기 동시구매</t>
    <phoneticPr fontId="2" type="noConversion"/>
  </si>
  <si>
    <t>공청기/제습기</t>
    <phoneticPr fontId="2" type="noConversion"/>
  </si>
  <si>
    <t>AY70H21100GVD</t>
  </si>
  <si>
    <t>CC99H63I1D</t>
  </si>
  <si>
    <t>KU43MH70AFXKR</t>
    <phoneticPr fontId="2" type="noConversion"/>
  </si>
  <si>
    <t>KQ83SH90AEXKR</t>
    <phoneticPr fontId="2" type="noConversion"/>
  </si>
  <si>
    <t>KU50MH70AFXKR</t>
    <phoneticPr fontId="2" type="noConversion"/>
  </si>
  <si>
    <t>▣ 26년 8월 모델별 금융정책 리스트</t>
  </si>
  <si>
    <t>▣ 26년 8월 The Frame + 베젤 패키지</t>
  </si>
  <si>
    <t>▣ 26년 8월 TV + 사운드바 패키지</t>
  </si>
  <si>
    <t>▣ 26년 8월 세탁기+공청기/제습기 동시 구매 패키지</t>
  </si>
  <si>
    <t>▣ 26년 8월 TV + 프리스타일 동시구매 판촉</t>
  </si>
  <si>
    <t>▣ 26년 8월 VD+가전 5품목 패키지 동시구매</t>
  </si>
  <si>
    <t>▣ 26년 8월 TV + 무빙스타일 스탠드 동시 구매 판촉</t>
  </si>
  <si>
    <t>▣ 26년 8월 스마트 모니터 + 무빙스탠드 패키지</t>
  </si>
  <si>
    <t>▣ 26년 8월 에어컨+공청기 동시 구매 패키지</t>
  </si>
  <si>
    <t>▣ 26년 8월 TV + 2nd TV 동시 구매 판촉</t>
  </si>
  <si>
    <t>▣ 26년 8월 진열 세탁기+수납함 동시구매</t>
  </si>
  <si>
    <t>□ 삼성전자 8월 삼성 스마트 패키지 (삼.스.패) 포인트 운영의 건</t>
  </si>
  <si>
    <t>1. 행사 기간 : '26년 8월 1일 ~ 31일</t>
  </si>
  <si>
    <t>□ 삼성전자 8월 다품목 금융정책 운영의 건</t>
  </si>
  <si>
    <t>□ 삼성전자 8월 냉+김냉 패키지 모바일상품권 운영의 건</t>
  </si>
  <si>
    <t>8/1~8/31</t>
    <phoneticPr fontId="2" type="noConversion"/>
  </si>
  <si>
    <t>(전월동)</t>
    <phoneticPr fontId="2" type="noConversion"/>
  </si>
  <si>
    <t>1. 행사 기간 : '25년 8월 1일 ~ 31일</t>
    <phoneticPr fontId="2" type="noConversion"/>
  </si>
  <si>
    <r>
      <t xml:space="preserve">   - 행사 모델 구입 고객 중 </t>
    </r>
    <r>
      <rPr>
        <u/>
        <sz val="10"/>
        <color indexed="12"/>
        <rFont val="맑은 고딕"/>
        <family val="3"/>
        <charset val="129"/>
      </rPr>
      <t>동일 고객</t>
    </r>
    <r>
      <rPr>
        <sz val="10"/>
        <color indexed="8"/>
        <rFont val="맑은 고딕"/>
        <family val="3"/>
        <charset val="129"/>
      </rPr>
      <t xml:space="preserve">이 동일 </t>
    </r>
    <r>
      <rPr>
        <b/>
        <sz val="10"/>
        <color rgb="FFFF0000"/>
        <rFont val="맑은 고딕"/>
        <family val="3"/>
        <charset val="129"/>
      </rPr>
      <t>Seg</t>
    </r>
    <r>
      <rPr>
        <sz val="10"/>
        <color indexed="8"/>
        <rFont val="맑은 고딕"/>
        <family val="3"/>
        <charset val="129"/>
      </rPr>
      <t xml:space="preserve">가 아닌, </t>
    </r>
    <r>
      <rPr>
        <u/>
        <sz val="10"/>
        <color rgb="FF0000FF"/>
        <rFont val="맑은 고딕"/>
        <family val="3"/>
        <charset val="129"/>
      </rPr>
      <t>서로 다른</t>
    </r>
    <r>
      <rPr>
        <u/>
        <sz val="10"/>
        <color indexed="8"/>
        <rFont val="맑은 고딕"/>
        <family val="3"/>
        <charset val="129"/>
      </rPr>
      <t xml:space="preserve"> </t>
    </r>
    <r>
      <rPr>
        <b/>
        <u/>
        <sz val="10"/>
        <color rgb="FFFF0000"/>
        <rFont val="맑은 고딕"/>
        <family val="3"/>
        <charset val="129"/>
      </rPr>
      <t xml:space="preserve">Seg </t>
    </r>
    <r>
      <rPr>
        <u/>
        <sz val="10"/>
        <color indexed="12"/>
        <rFont val="맑은 고딕"/>
        <family val="3"/>
        <charset val="129"/>
      </rPr>
      <t>동시 구매건</t>
    </r>
    <r>
      <rPr>
        <sz val="10"/>
        <color indexed="8"/>
        <rFont val="맑은 고딕"/>
        <family val="3"/>
        <charset val="129"/>
      </rPr>
      <t>(2모델 이상)에 한하여 모바일상품권/H쿠폰 적용</t>
    </r>
    <phoneticPr fontId="7" type="noConversion"/>
  </si>
  <si>
    <t>▣ 26년 8월 정수기 카운터탑+필터 동시구매 패키지</t>
    <phoneticPr fontId="2" type="noConversion"/>
  </si>
  <si>
    <t>8/1~8/31</t>
  </si>
  <si>
    <t>정수기 카운터탑+필터 동시구매</t>
  </si>
  <si>
    <t>정수기 카운터탑+필터 동시구매</t>
    <phoneticPr fontId="2" type="noConversion"/>
  </si>
  <si>
    <t>정수기</t>
    <phoneticPr fontId="2" type="noConversion"/>
  </si>
  <si>
    <t>HAF-HIM</t>
  </si>
  <si>
    <t>필터</t>
    <phoneticPr fontId="2" type="noConversion"/>
  </si>
  <si>
    <r>
      <t xml:space="preserve">조합 </t>
    </r>
    <r>
      <rPr>
        <sz val="10"/>
        <color theme="1"/>
        <rFont val="맑은 고딕"/>
        <family val="3"/>
        <charset val="129"/>
      </rPr>
      <t>③</t>
    </r>
    <phoneticPr fontId="2" type="noConversion"/>
  </si>
  <si>
    <t>동시구매시 혜택
조합① + 조합②+ 조합③</t>
    <phoneticPr fontId="2" type="noConversion"/>
  </si>
  <si>
    <t>단품 포인트</t>
    <phoneticPr fontId="2" type="noConversion"/>
  </si>
  <si>
    <t>▣ 26년 8월 세탁기+건조기 동시 구매 판촉</t>
    <phoneticPr fontId="2" type="noConversion"/>
  </si>
  <si>
    <t>세탁기+건조기</t>
    <phoneticPr fontId="2" type="noConversion"/>
  </si>
  <si>
    <t>WF80H24ADS</t>
  </si>
  <si>
    <t>DV80H22CDS</t>
  </si>
  <si>
    <t>▣ 26년 8월 세탁기+건조기+의류청정기 동시 구매 판촉</t>
    <phoneticPr fontId="2" type="noConversion"/>
  </si>
  <si>
    <t>동시구매시 혜택
조합① ~ ③</t>
    <phoneticPr fontId="2" type="noConversion"/>
  </si>
  <si>
    <t>세탁기+건조기+의류청정기</t>
    <phoneticPr fontId="2" type="noConversion"/>
  </si>
  <si>
    <t>DV90F22ABS</t>
  </si>
  <si>
    <t>의류청정기</t>
    <phoneticPr fontId="2" type="noConversion"/>
  </si>
  <si>
    <t>DV90F22ABT</t>
  </si>
  <si>
    <t>DV90F22ABY</t>
  </si>
  <si>
    <t>DV90F22BBY</t>
  </si>
  <si>
    <t>DV90F20ABT</t>
  </si>
  <si>
    <t>▣ 26년 8월 세탁기(콤보)+의류청정기 동시 구매 판촉</t>
    <phoneticPr fontId="2" type="noConversion"/>
  </si>
  <si>
    <t>삼성전자</t>
    <phoneticPr fontId="2" type="noConversion"/>
  </si>
  <si>
    <t>8/1~8/31</t>
    <phoneticPr fontId="2" type="noConversion"/>
  </si>
  <si>
    <t>VD+가전 5품목 패키지 동시구매</t>
    <phoneticPr fontId="2" type="noConversion"/>
  </si>
  <si>
    <t>TV</t>
    <phoneticPr fontId="2" type="noConversion"/>
  </si>
  <si>
    <t>사운드바</t>
    <phoneticPr fontId="2" type="noConversion"/>
  </si>
  <si>
    <t>스마트모니터</t>
    <phoneticPr fontId="2" type="noConversion"/>
  </si>
  <si>
    <t>가전 2</t>
    <phoneticPr fontId="2" type="noConversion"/>
  </si>
  <si>
    <t>가전 1/2nd TV</t>
    <phoneticPr fontId="2" type="noConversion"/>
  </si>
  <si>
    <t>8/1~8/31</t>
    <phoneticPr fontId="2" type="noConversion"/>
  </si>
  <si>
    <t xml:space="preserve">① 대상모델 2품목 이상 구매시부터 품목수 구간별 추가 혜택 증정 </t>
    <phoneticPr fontId="2" type="noConversion"/>
  </si>
  <si>
    <t>② 스마트패키지 품목 수 혜택 대상모델과 동시구매 시 3만P 지원</t>
    <phoneticPr fontId="2" type="noConversion"/>
  </si>
  <si>
    <t>3. 품목별 혜택 금액</t>
    <phoneticPr fontId="2" type="noConversion"/>
  </si>
  <si>
    <t>□ 스마트패키지 품목 수 혜택 대상모델</t>
  </si>
  <si>
    <t>□ 스마트패키지 『3만 혜택』 모델</t>
    <phoneticPr fontId="2" type="noConversion"/>
  </si>
  <si>
    <t>→ 스마트패키지 품목 수 혜택 대상모델과 
동시구매 시 3만P 지원</t>
    <phoneticPr fontId="2" type="noConversion"/>
  </si>
  <si>
    <t>모델군</t>
    <phoneticPr fontId="2" type="noConversion"/>
  </si>
  <si>
    <t>모델명</t>
    <phoneticPr fontId="2" type="noConversion"/>
  </si>
  <si>
    <t>필터</t>
  </si>
  <si>
    <t>큐커 멀티 22L</t>
  </si>
  <si>
    <t>※ 혜택 예시</t>
    <phoneticPr fontId="2" type="noConversion"/>
  </si>
  <si>
    <t>1) TV A모델 + 냉장고 B모델 + 모니터 3만 혜택 C모델 → 2품목 10만 + 3만 = 최종 13만</t>
    <phoneticPr fontId="2" type="noConversion"/>
  </si>
  <si>
    <t>2) TV A모델 + 모니터 3만 혜택 C모델 → 최종 3만</t>
    <phoneticPr fontId="2" type="noConversion"/>
  </si>
  <si>
    <t>3) 모니터 3만 혜택 C모델 + 식기세척기 3만 혜택 D모델 → 최종 6만</t>
    <phoneticPr fontId="2" type="noConversion"/>
  </si>
  <si>
    <t>빌트인오븐 50L</t>
  </si>
  <si>
    <t>NQ50T8539BK</t>
  </si>
  <si>
    <t xml:space="preserve">26년 분리형 24Kg Full </t>
  </si>
  <si>
    <t>WF80H24ADW</t>
  </si>
  <si>
    <t>26년 분리형 25Kg 세자투</t>
  </si>
  <si>
    <t>WF80H24BDW</t>
  </si>
  <si>
    <t>RQ34C7945AP</t>
  </si>
  <si>
    <t>RQ34C7915AP</t>
  </si>
  <si>
    <t>RQ34C7845AP</t>
  </si>
  <si>
    <t>RQ34C7815AP</t>
  </si>
  <si>
    <t>RQ32C76A2AP</t>
  </si>
  <si>
    <t>RQ32C7645AP</t>
  </si>
  <si>
    <t>RQ32C7612AP</t>
  </si>
  <si>
    <t>RQ33C74B1W6</t>
  </si>
  <si>
    <t>김치냉장고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</si>
</sst>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7" formatCode="mm&quot;월&quot;\ dd&quot;일&quot;"/>
    <numFmt numFmtId="178" formatCode="#,##0_);[Red]\(#,##0\)"/>
  </numFmts>
  <fonts count="5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u/>
      <sz val="10"/>
      <color indexed="12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u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u/>
      <sz val="10"/>
      <color indexed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20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4" tint="0.79998168889431442"/>
      <name val="맑은 고딕"/>
      <family val="3"/>
      <charset val="129"/>
      <scheme val="minor"/>
    </font>
    <font>
      <b/>
      <sz val="10"/>
      <color theme="4" tint="0.7999816888943144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indexed="64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3" fillId="0" borderId="0"/>
  </cellStyleXfs>
  <cellXfs count="45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41" fontId="8" fillId="0" borderId="0" xfId="1" applyFont="1" applyFill="1" applyAlignment="1">
      <alignment horizontal="center" vertical="center"/>
    </xf>
    <xf numFmtId="41" fontId="14" fillId="0" borderId="0" xfId="1" applyFont="1" applyFill="1" applyAlignment="1">
      <alignment horizontal="left" vertical="center"/>
    </xf>
    <xf numFmtId="0" fontId="5" fillId="0" borderId="0" xfId="4" applyFont="1" applyFill="1" applyAlignment="1">
      <alignment horizontal="center" vertical="center"/>
    </xf>
    <xf numFmtId="0" fontId="5" fillId="0" borderId="0" xfId="4" applyFont="1" applyFill="1" applyAlignment="1">
      <alignment horizontal="left" vertical="center"/>
    </xf>
    <xf numFmtId="41" fontId="3" fillId="0" borderId="0" xfId="1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41" fontId="8" fillId="0" borderId="0" xfId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8" fillId="0" borderId="0" xfId="4" applyFont="1" applyFill="1">
      <alignment vertical="center"/>
    </xf>
    <xf numFmtId="0" fontId="6" fillId="2" borderId="7" xfId="0" applyFont="1" applyFill="1" applyBorder="1" applyAlignment="1">
      <alignment horizontal="center" vertical="center"/>
    </xf>
    <xf numFmtId="41" fontId="16" fillId="0" borderId="0" xfId="1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41" fontId="8" fillId="0" borderId="0" xfId="0" applyNumberFormat="1" applyFo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1" fontId="8" fillId="5" borderId="2" xfId="1" applyFont="1" applyFill="1" applyBorder="1" applyAlignment="1">
      <alignment horizontal="center" vertical="center"/>
    </xf>
    <xf numFmtId="41" fontId="26" fillId="0" borderId="1" xfId="1" applyFont="1" applyFill="1" applyBorder="1" applyAlignment="1">
      <alignment horizontal="center" vertical="center"/>
    </xf>
    <xf numFmtId="41" fontId="3" fillId="0" borderId="0" xfId="1" applyFont="1" applyFill="1">
      <alignment vertical="center"/>
    </xf>
    <xf numFmtId="41" fontId="8" fillId="0" borderId="0" xfId="1" applyFont="1" applyFill="1">
      <alignment vertical="center"/>
    </xf>
    <xf numFmtId="41" fontId="27" fillId="0" borderId="0" xfId="1" applyFont="1" applyFill="1" applyAlignment="1">
      <alignment horizontal="left" vertical="center"/>
    </xf>
    <xf numFmtId="41" fontId="28" fillId="0" borderId="0" xfId="1" applyFont="1" applyFill="1">
      <alignment vertical="center"/>
    </xf>
    <xf numFmtId="0" fontId="12" fillId="0" borderId="0" xfId="0" applyFont="1" applyFill="1">
      <alignment vertical="center"/>
    </xf>
    <xf numFmtId="0" fontId="30" fillId="0" borderId="0" xfId="0" applyFont="1" applyFill="1">
      <alignment vertical="center"/>
    </xf>
    <xf numFmtId="0" fontId="0" fillId="0" borderId="0" xfId="0" applyFill="1">
      <alignment vertical="center"/>
    </xf>
    <xf numFmtId="0" fontId="8" fillId="0" borderId="1" xfId="0" applyFont="1" applyBorder="1" applyAlignment="1">
      <alignment horizontal="center" vertical="center" wrapText="1"/>
    </xf>
    <xf numFmtId="41" fontId="3" fillId="0" borderId="0" xfId="0" applyNumberFormat="1" applyFont="1" applyFill="1">
      <alignment vertical="center"/>
    </xf>
    <xf numFmtId="0" fontId="25" fillId="0" borderId="0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41" fontId="8" fillId="0" borderId="1" xfId="9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34" fillId="4" borderId="8" xfId="0" applyFont="1" applyFill="1" applyBorder="1" applyAlignment="1">
      <alignment horizontal="center" vertical="center" wrapText="1" readingOrder="1"/>
    </xf>
    <xf numFmtId="0" fontId="35" fillId="4" borderId="8" xfId="0" applyFont="1" applyFill="1" applyBorder="1" applyAlignment="1">
      <alignment horizontal="center" vertical="center" wrapText="1" readingOrder="1"/>
    </xf>
    <xf numFmtId="0" fontId="34" fillId="7" borderId="21" xfId="0" applyFont="1" applyFill="1" applyBorder="1" applyAlignment="1">
      <alignment horizontal="center" vertical="center" wrapText="1" readingOrder="1"/>
    </xf>
    <xf numFmtId="0" fontId="34" fillId="0" borderId="20" xfId="0" applyFont="1" applyBorder="1" applyAlignment="1">
      <alignment horizontal="center" vertical="center" wrapText="1" readingOrder="1"/>
    </xf>
    <xf numFmtId="0" fontId="34" fillId="0" borderId="21" xfId="0" applyFont="1" applyBorder="1" applyAlignment="1">
      <alignment horizontal="center" vertical="center" wrapText="1" readingOrder="1"/>
    </xf>
    <xf numFmtId="0" fontId="34" fillId="0" borderId="22" xfId="0" applyFont="1" applyBorder="1" applyAlignment="1">
      <alignment horizontal="center" vertical="center" wrapText="1" readingOrder="1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>
      <alignment vertical="center"/>
    </xf>
    <xf numFmtId="0" fontId="11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8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1" fontId="3" fillId="0" borderId="0" xfId="1" applyFont="1" applyFill="1" applyAlignment="1">
      <alignment horizontal="left" vertical="center"/>
    </xf>
    <xf numFmtId="0" fontId="23" fillId="0" borderId="1" xfId="0" applyFont="1" applyBorder="1" applyAlignment="1">
      <alignment horizontal="center" vertical="center" wrapText="1" readingOrder="1"/>
    </xf>
    <xf numFmtId="41" fontId="8" fillId="0" borderId="11" xfId="1" applyFont="1" applyFill="1" applyBorder="1" applyAlignment="1">
      <alignment vertical="center"/>
    </xf>
    <xf numFmtId="0" fontId="8" fillId="0" borderId="19" xfId="0" applyFont="1" applyFill="1" applyBorder="1" applyAlignment="1">
      <alignment horizontal="center" vertical="center"/>
    </xf>
    <xf numFmtId="41" fontId="8" fillId="0" borderId="23" xfId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41" fontId="8" fillId="0" borderId="15" xfId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41" fontId="8" fillId="0" borderId="14" xfId="1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41" fontId="8" fillId="6" borderId="15" xfId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1" fontId="8" fillId="0" borderId="15" xfId="1" applyFont="1" applyBorder="1" applyAlignment="1">
      <alignment horizontal="center" vertical="center"/>
    </xf>
    <xf numFmtId="0" fontId="8" fillId="0" borderId="11" xfId="0" applyFont="1" applyFill="1" applyBorder="1">
      <alignment vertical="center"/>
    </xf>
    <xf numFmtId="0" fontId="32" fillId="0" borderId="0" xfId="0" applyFont="1" applyFill="1">
      <alignment vertical="center"/>
    </xf>
    <xf numFmtId="41" fontId="11" fillId="0" borderId="0" xfId="1" applyFont="1" applyFill="1" applyAlignment="1">
      <alignment horizontal="left" vertical="center"/>
    </xf>
    <xf numFmtId="41" fontId="32" fillId="0" borderId="0" xfId="1" applyFont="1" applyFill="1">
      <alignment vertical="center"/>
    </xf>
    <xf numFmtId="0" fontId="32" fillId="0" borderId="0" xfId="0" applyFont="1">
      <alignment vertical="center"/>
    </xf>
    <xf numFmtId="41" fontId="8" fillId="0" borderId="11" xfId="9" applyFont="1" applyFill="1" applyBorder="1" applyAlignment="1">
      <alignment horizontal="center" vertical="center"/>
    </xf>
    <xf numFmtId="41" fontId="8" fillId="0" borderId="11" xfId="9" quotePrefix="1" applyFont="1" applyFill="1" applyBorder="1" applyAlignment="1">
      <alignment horizontal="center" vertical="center" wrapText="1"/>
    </xf>
    <xf numFmtId="41" fontId="8" fillId="0" borderId="11" xfId="9" applyFont="1" applyFill="1" applyBorder="1" applyAlignment="1">
      <alignment vertical="center"/>
    </xf>
    <xf numFmtId="41" fontId="8" fillId="0" borderId="1" xfId="9" applyFont="1" applyBorder="1" applyAlignment="1">
      <alignment horizontal="center" vertical="center"/>
    </xf>
    <xf numFmtId="41" fontId="23" fillId="0" borderId="1" xfId="9" applyFont="1" applyFill="1" applyBorder="1" applyAlignment="1">
      <alignment horizontal="center" vertical="center" wrapText="1"/>
    </xf>
    <xf numFmtId="41" fontId="13" fillId="0" borderId="11" xfId="9" applyFont="1" applyFill="1" applyBorder="1" applyAlignment="1">
      <alignment vertical="center" wrapText="1"/>
    </xf>
    <xf numFmtId="41" fontId="13" fillId="0" borderId="11" xfId="9" applyFont="1" applyFill="1" applyBorder="1" applyAlignment="1">
      <alignment vertical="center"/>
    </xf>
    <xf numFmtId="41" fontId="32" fillId="0" borderId="0" xfId="9" applyFont="1" applyFill="1">
      <alignment vertical="center"/>
    </xf>
    <xf numFmtId="41" fontId="8" fillId="0" borderId="3" xfId="9" quotePrefix="1" applyFont="1" applyFill="1" applyBorder="1" applyAlignment="1">
      <alignment horizontal="center" vertical="center" wrapText="1"/>
    </xf>
    <xf numFmtId="41" fontId="8" fillId="0" borderId="3" xfId="9" applyFont="1" applyFill="1" applyBorder="1" applyAlignment="1">
      <alignment vertical="center"/>
    </xf>
    <xf numFmtId="41" fontId="13" fillId="0" borderId="3" xfId="9" applyFont="1" applyFill="1" applyBorder="1" applyAlignment="1">
      <alignment vertical="center"/>
    </xf>
    <xf numFmtId="41" fontId="11" fillId="0" borderId="0" xfId="9" applyFont="1" applyFill="1" applyAlignment="1">
      <alignment horizontal="left" vertical="center"/>
    </xf>
    <xf numFmtId="41" fontId="8" fillId="0" borderId="0" xfId="9" applyFont="1" applyFill="1" applyAlignment="1">
      <alignment horizontal="center" vertical="center"/>
    </xf>
    <xf numFmtId="41" fontId="8" fillId="0" borderId="11" xfId="9" quotePrefix="1" applyFont="1" applyFill="1" applyBorder="1" applyAlignment="1">
      <alignment vertical="center" wrapText="1"/>
    </xf>
    <xf numFmtId="41" fontId="8" fillId="0" borderId="11" xfId="9" applyFont="1" applyFill="1" applyBorder="1" applyAlignment="1">
      <alignment vertical="center" wrapText="1"/>
    </xf>
    <xf numFmtId="41" fontId="8" fillId="0" borderId="3" xfId="9" quotePrefix="1" applyFont="1" applyFill="1" applyBorder="1" applyAlignment="1">
      <alignment vertical="center" wrapText="1"/>
    </xf>
    <xf numFmtId="41" fontId="8" fillId="0" borderId="3" xfId="9" applyFont="1" applyFill="1" applyBorder="1" applyAlignment="1">
      <alignment vertical="center" wrapText="1"/>
    </xf>
    <xf numFmtId="41" fontId="37" fillId="0" borderId="0" xfId="1" applyFont="1" applyFill="1" applyAlignment="1">
      <alignment horizontal="left" vertical="center"/>
    </xf>
    <xf numFmtId="41" fontId="23" fillId="0" borderId="0" xfId="1" applyFont="1" applyFill="1">
      <alignment vertical="center"/>
    </xf>
    <xf numFmtId="41" fontId="23" fillId="0" borderId="2" xfId="9" applyFont="1" applyFill="1" applyBorder="1" applyAlignment="1">
      <alignment horizontal="center" vertical="center"/>
    </xf>
    <xf numFmtId="41" fontId="23" fillId="0" borderId="11" xfId="9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 wrapText="1"/>
    </xf>
    <xf numFmtId="41" fontId="8" fillId="0" borderId="11" xfId="1" quotePrefix="1" applyFont="1" applyFill="1" applyBorder="1" applyAlignment="1">
      <alignment vertical="center"/>
    </xf>
    <xf numFmtId="41" fontId="8" fillId="0" borderId="11" xfId="1" applyFont="1" applyFill="1" applyBorder="1" applyAlignment="1">
      <alignment horizontal="center" vertical="center" wrapText="1"/>
    </xf>
    <xf numFmtId="41" fontId="8" fillId="0" borderId="11" xfId="1" applyFont="1" applyFill="1" applyBorder="1" applyAlignment="1">
      <alignment horizontal="center" vertical="center" wrapText="1" readingOrder="1"/>
    </xf>
    <xf numFmtId="41" fontId="8" fillId="0" borderId="13" xfId="1" applyFont="1" applyFill="1" applyBorder="1" applyAlignment="1">
      <alignment vertical="center"/>
    </xf>
    <xf numFmtId="41" fontId="8" fillId="0" borderId="13" xfId="1" applyFont="1" applyFill="1" applyBorder="1" applyAlignment="1">
      <alignment horizontal="center" vertical="center" wrapText="1" readingOrder="1"/>
    </xf>
    <xf numFmtId="41" fontId="8" fillId="0" borderId="1" xfId="9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center" vertical="center" wrapText="1" readingOrder="1"/>
    </xf>
    <xf numFmtId="41" fontId="8" fillId="0" borderId="1" xfId="9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1" fontId="11" fillId="0" borderId="11" xfId="9" applyFont="1" applyFill="1" applyBorder="1" applyAlignment="1">
      <alignment horizontal="left" vertical="center"/>
    </xf>
    <xf numFmtId="41" fontId="8" fillId="0" borderId="1" xfId="1" applyFont="1" applyFill="1" applyBorder="1" applyAlignment="1">
      <alignment vertical="center"/>
    </xf>
    <xf numFmtId="13" fontId="8" fillId="0" borderId="11" xfId="9" quotePrefix="1" applyNumberFormat="1" applyFont="1" applyFill="1" applyBorder="1" applyAlignment="1">
      <alignment horizontal="center" vertical="center" wrapText="1"/>
    </xf>
    <xf numFmtId="0" fontId="3" fillId="0" borderId="11" xfId="0" applyFont="1" applyFill="1" applyBorder="1">
      <alignment vertical="center"/>
    </xf>
    <xf numFmtId="0" fontId="3" fillId="0" borderId="3" xfId="0" applyFont="1" applyFill="1" applyBorder="1">
      <alignment vertical="center"/>
    </xf>
    <xf numFmtId="41" fontId="8" fillId="0" borderId="1" xfId="1" applyFont="1" applyFill="1" applyBorder="1">
      <alignment vertical="center"/>
    </xf>
    <xf numFmtId="0" fontId="8" fillId="0" borderId="1" xfId="0" applyFont="1" applyFill="1" applyBorder="1" applyAlignment="1">
      <alignment horizontal="center" vertical="center" readingOrder="1"/>
    </xf>
    <xf numFmtId="0" fontId="23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1" fontId="28" fillId="0" borderId="2" xfId="9" applyFont="1" applyFill="1" applyBorder="1" applyAlignment="1">
      <alignment horizontal="center" vertical="center"/>
    </xf>
    <xf numFmtId="41" fontId="28" fillId="0" borderId="11" xfId="9" applyFont="1" applyFill="1" applyBorder="1" applyAlignment="1">
      <alignment horizontal="center" vertical="center"/>
    </xf>
    <xf numFmtId="41" fontId="3" fillId="0" borderId="11" xfId="9" quotePrefix="1" applyFont="1" applyFill="1" applyBorder="1" applyAlignment="1">
      <alignment horizontal="center" vertical="center" wrapText="1"/>
    </xf>
    <xf numFmtId="41" fontId="28" fillId="0" borderId="14" xfId="9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 readingOrder="1"/>
    </xf>
    <xf numFmtId="41" fontId="27" fillId="0" borderId="26" xfId="9" applyFont="1" applyFill="1" applyBorder="1" applyAlignment="1">
      <alignment vertical="center"/>
    </xf>
    <xf numFmtId="0" fontId="28" fillId="0" borderId="15" xfId="0" applyFont="1" applyBorder="1" applyAlignment="1">
      <alignment horizontal="center" vertical="center" wrapText="1" readingOrder="1"/>
    </xf>
    <xf numFmtId="41" fontId="27" fillId="0" borderId="28" xfId="9" applyFont="1" applyFill="1" applyBorder="1" applyAlignment="1">
      <alignment vertical="center"/>
    </xf>
    <xf numFmtId="178" fontId="8" fillId="0" borderId="0" xfId="0" applyNumberFormat="1" applyFont="1" applyAlignment="1">
      <alignment horizontal="center" vertical="center"/>
    </xf>
    <xf numFmtId="41" fontId="37" fillId="0" borderId="5" xfId="9" applyFont="1" applyFill="1" applyBorder="1" applyAlignment="1">
      <alignment vertical="center"/>
    </xf>
    <xf numFmtId="41" fontId="23" fillId="0" borderId="3" xfId="9" applyFont="1" applyFill="1" applyBorder="1" applyAlignment="1">
      <alignment horizontal="center" vertical="center"/>
    </xf>
    <xf numFmtId="41" fontId="23" fillId="0" borderId="3" xfId="9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 readingOrder="1"/>
    </xf>
    <xf numFmtId="41" fontId="3" fillId="0" borderId="14" xfId="9" applyFont="1" applyFill="1" applyBorder="1" applyAlignment="1">
      <alignment vertical="center" wrapText="1"/>
    </xf>
    <xf numFmtId="41" fontId="3" fillId="0" borderId="15" xfId="9" applyFont="1" applyFill="1" applyBorder="1" applyAlignment="1">
      <alignment vertical="center" wrapText="1"/>
    </xf>
    <xf numFmtId="41" fontId="3" fillId="0" borderId="16" xfId="9" applyFont="1" applyFill="1" applyBorder="1" applyAlignment="1">
      <alignment vertical="center" wrapText="1"/>
    </xf>
    <xf numFmtId="41" fontId="28" fillId="0" borderId="1" xfId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 readingOrder="1"/>
    </xf>
    <xf numFmtId="0" fontId="28" fillId="0" borderId="15" xfId="0" applyFont="1" applyFill="1" applyBorder="1" applyAlignment="1">
      <alignment horizontal="center" vertical="center" wrapText="1" readingOrder="1"/>
    </xf>
    <xf numFmtId="41" fontId="28" fillId="0" borderId="28" xfId="9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 wrapText="1" readingOrder="1"/>
    </xf>
    <xf numFmtId="41" fontId="28" fillId="0" borderId="30" xfId="9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41" fontId="38" fillId="0" borderId="11" xfId="1" applyFont="1" applyFill="1" applyBorder="1" applyAlignment="1">
      <alignment vertical="center"/>
    </xf>
    <xf numFmtId="41" fontId="38" fillId="0" borderId="3" xfId="1" applyFont="1" applyFill="1" applyBorder="1" applyAlignment="1">
      <alignment vertical="center"/>
    </xf>
    <xf numFmtId="0" fontId="28" fillId="0" borderId="24" xfId="0" applyFont="1" applyFill="1" applyBorder="1" applyAlignment="1">
      <alignment horizontal="center" vertical="center" wrapText="1" readingOrder="1"/>
    </xf>
    <xf numFmtId="0" fontId="26" fillId="0" borderId="1" xfId="0" applyFont="1" applyFill="1" applyBorder="1" applyAlignment="1">
      <alignment horizontal="center" vertical="center"/>
    </xf>
    <xf numFmtId="41" fontId="23" fillId="0" borderId="1" xfId="1" applyFont="1" applyFill="1" applyBorder="1" applyAlignment="1">
      <alignment horizontal="center" vertical="center" wrapText="1"/>
    </xf>
    <xf numFmtId="3" fontId="25" fillId="0" borderId="1" xfId="0" applyNumberFormat="1" applyFont="1" applyBorder="1" applyAlignment="1">
      <alignment horizontal="center" vertical="center" wrapText="1" readingOrder="1"/>
    </xf>
    <xf numFmtId="3" fontId="8" fillId="0" borderId="0" xfId="0" applyNumberFormat="1" applyFont="1" applyFill="1">
      <alignment vertical="center"/>
    </xf>
    <xf numFmtId="41" fontId="27" fillId="0" borderId="33" xfId="9" applyFont="1" applyFill="1" applyBorder="1" applyAlignment="1">
      <alignment vertical="center"/>
    </xf>
    <xf numFmtId="0" fontId="15" fillId="0" borderId="23" xfId="0" applyFont="1" applyFill="1" applyBorder="1" applyAlignment="1">
      <alignment horizontal="center" vertical="center" wrapText="1" readingOrder="1"/>
    </xf>
    <xf numFmtId="3" fontId="15" fillId="0" borderId="23" xfId="0" applyNumberFormat="1" applyFont="1" applyFill="1" applyBorder="1" applyAlignment="1">
      <alignment horizontal="center" vertical="center" wrapText="1" readingOrder="1"/>
    </xf>
    <xf numFmtId="0" fontId="15" fillId="0" borderId="15" xfId="0" applyFont="1" applyFill="1" applyBorder="1" applyAlignment="1">
      <alignment horizontal="center" vertical="center" wrapText="1" readingOrder="1"/>
    </xf>
    <xf numFmtId="3" fontId="15" fillId="0" borderId="15" xfId="0" applyNumberFormat="1" applyFont="1" applyFill="1" applyBorder="1" applyAlignment="1">
      <alignment horizontal="center" vertical="center" wrapText="1" readingOrder="1"/>
    </xf>
    <xf numFmtId="3" fontId="15" fillId="0" borderId="1" xfId="0" applyNumberFormat="1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41" fontId="8" fillId="0" borderId="1" xfId="9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1" fontId="28" fillId="0" borderId="16" xfId="9" applyFont="1" applyFill="1" applyBorder="1" applyAlignment="1">
      <alignment horizontal="center" vertical="center"/>
    </xf>
    <xf numFmtId="41" fontId="3" fillId="0" borderId="3" xfId="1" quotePrefix="1" applyFont="1" applyFill="1" applyBorder="1" applyAlignment="1">
      <alignment horizontal="center" vertical="center" wrapText="1"/>
    </xf>
    <xf numFmtId="41" fontId="8" fillId="0" borderId="2" xfId="9" applyFont="1" applyFill="1" applyBorder="1" applyAlignment="1">
      <alignment horizontal="center" vertical="center"/>
    </xf>
    <xf numFmtId="41" fontId="8" fillId="0" borderId="3" xfId="9" applyFont="1" applyFill="1" applyBorder="1" applyAlignment="1">
      <alignment horizontal="center" vertical="center"/>
    </xf>
    <xf numFmtId="41" fontId="8" fillId="0" borderId="4" xfId="9" applyFont="1" applyFill="1" applyBorder="1" applyAlignment="1">
      <alignment horizontal="center" vertical="center"/>
    </xf>
    <xf numFmtId="41" fontId="8" fillId="0" borderId="5" xfId="9" applyFont="1" applyFill="1" applyBorder="1" applyAlignment="1">
      <alignment horizontal="center" vertical="center"/>
    </xf>
    <xf numFmtId="41" fontId="8" fillId="0" borderId="2" xfId="9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 readingOrder="1"/>
    </xf>
    <xf numFmtId="3" fontId="15" fillId="0" borderId="14" xfId="0" applyNumberFormat="1" applyFont="1" applyFill="1" applyBorder="1" applyAlignment="1">
      <alignment horizontal="center" vertical="center" wrapText="1" readingOrder="1"/>
    </xf>
    <xf numFmtId="0" fontId="15" fillId="0" borderId="16" xfId="0" applyFont="1" applyFill="1" applyBorder="1" applyAlignment="1">
      <alignment horizontal="center" vertical="center" wrapText="1" readingOrder="1"/>
    </xf>
    <xf numFmtId="3" fontId="15" fillId="0" borderId="16" xfId="0" applyNumberFormat="1" applyFont="1" applyFill="1" applyBorder="1" applyAlignment="1">
      <alignment horizontal="center" vertical="center" wrapText="1" readingOrder="1"/>
    </xf>
    <xf numFmtId="41" fontId="28" fillId="0" borderId="0" xfId="9" applyFont="1" applyFill="1" applyBorder="1" applyAlignment="1">
      <alignment horizontal="center" vertical="center"/>
    </xf>
    <xf numFmtId="41" fontId="3" fillId="0" borderId="0" xfId="9" quotePrefix="1" applyFont="1" applyFill="1" applyBorder="1" applyAlignment="1">
      <alignment horizontal="center" vertical="center" wrapText="1"/>
    </xf>
    <xf numFmtId="41" fontId="8" fillId="0" borderId="5" xfId="9" applyFont="1" applyFill="1" applyBorder="1" applyAlignment="1">
      <alignment horizontal="center" vertical="center"/>
    </xf>
    <xf numFmtId="178" fontId="8" fillId="3" borderId="1" xfId="1" applyNumberFormat="1" applyFont="1" applyFill="1" applyBorder="1" applyAlignment="1">
      <alignment horizontal="center" vertical="center"/>
    </xf>
    <xf numFmtId="41" fontId="25" fillId="3" borderId="1" xfId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 readingOrder="1"/>
    </xf>
    <xf numFmtId="41" fontId="3" fillId="0" borderId="0" xfId="1" applyFont="1">
      <alignment vertical="center"/>
    </xf>
    <xf numFmtId="41" fontId="28" fillId="0" borderId="0" xfId="1" applyFont="1" applyFill="1" applyBorder="1" applyAlignment="1">
      <alignment horizontal="center" vertical="center"/>
    </xf>
    <xf numFmtId="41" fontId="3" fillId="0" borderId="0" xfId="1" quotePrefix="1" applyFont="1" applyFill="1" applyBorder="1" applyAlignment="1">
      <alignment horizontal="center" vertical="center" wrapText="1"/>
    </xf>
    <xf numFmtId="41" fontId="28" fillId="0" borderId="0" xfId="1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 readingOrder="1"/>
    </xf>
    <xf numFmtId="3" fontId="15" fillId="0" borderId="0" xfId="0" applyNumberFormat="1" applyFont="1" applyBorder="1" applyAlignment="1">
      <alignment horizontal="center" vertical="center" wrapText="1" readingOrder="1"/>
    </xf>
    <xf numFmtId="41" fontId="8" fillId="0" borderId="11" xfId="1" applyFont="1" applyFill="1" applyBorder="1" applyAlignment="1">
      <alignment horizontal="center" vertical="center"/>
    </xf>
    <xf numFmtId="41" fontId="28" fillId="0" borderId="15" xfId="9" applyFont="1" applyFill="1" applyBorder="1" applyAlignment="1">
      <alignment horizontal="center" vertical="center"/>
    </xf>
    <xf numFmtId="41" fontId="3" fillId="0" borderId="11" xfId="1" quotePrefix="1" applyFont="1" applyFill="1" applyBorder="1" applyAlignment="1">
      <alignment horizontal="center" vertical="center" wrapText="1"/>
    </xf>
    <xf numFmtId="41" fontId="28" fillId="0" borderId="11" xfId="1" applyFont="1" applyFill="1" applyBorder="1" applyAlignment="1">
      <alignment horizontal="center" vertical="center" wrapText="1"/>
    </xf>
    <xf numFmtId="0" fontId="39" fillId="0" borderId="0" xfId="4" applyFont="1" applyFill="1" applyAlignment="1">
      <alignment horizontal="left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39" fillId="0" borderId="0" xfId="4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2" fillId="0" borderId="0" xfId="2" applyFont="1" applyAlignment="1">
      <alignment horizontal="left" vertical="center"/>
    </xf>
    <xf numFmtId="41" fontId="43" fillId="0" borderId="11" xfId="1" applyFont="1" applyFill="1" applyBorder="1" applyAlignment="1">
      <alignment horizontal="center" vertical="center" wrapText="1"/>
    </xf>
    <xf numFmtId="41" fontId="43" fillId="0" borderId="13" xfId="1" applyFont="1" applyFill="1" applyBorder="1" applyAlignment="1">
      <alignment horizontal="center" vertical="center" wrapText="1"/>
    </xf>
    <xf numFmtId="3" fontId="43" fillId="0" borderId="18" xfId="0" applyNumberFormat="1" applyFont="1" applyBorder="1" applyAlignment="1">
      <alignment horizontal="center" vertical="center" wrapText="1" readingOrder="1"/>
    </xf>
    <xf numFmtId="0" fontId="43" fillId="0" borderId="18" xfId="0" applyFont="1" applyBorder="1" applyAlignment="1">
      <alignment horizontal="center" vertical="center" wrapText="1" readingOrder="1"/>
    </xf>
    <xf numFmtId="3" fontId="43" fillId="0" borderId="0" xfId="0" applyNumberFormat="1" applyFont="1" applyAlignment="1">
      <alignment horizontal="center" vertical="center" wrapText="1" readingOrder="1"/>
    </xf>
    <xf numFmtId="41" fontId="36" fillId="0" borderId="14" xfId="1" applyFont="1" applyFill="1" applyBorder="1" applyAlignment="1">
      <alignment horizontal="center" vertical="center"/>
    </xf>
    <xf numFmtId="0" fontId="36" fillId="0" borderId="15" xfId="0" applyFont="1" applyFill="1" applyBorder="1" applyAlignment="1">
      <alignment horizontal="center" vertical="center"/>
    </xf>
    <xf numFmtId="41" fontId="36" fillId="0" borderId="15" xfId="1" applyFont="1" applyFill="1" applyBorder="1" applyAlignment="1">
      <alignment horizontal="center" vertical="center"/>
    </xf>
    <xf numFmtId="0" fontId="36" fillId="3" borderId="15" xfId="0" applyFont="1" applyFill="1" applyBorder="1" applyAlignment="1">
      <alignment horizontal="center" vertical="center"/>
    </xf>
    <xf numFmtId="41" fontId="36" fillId="3" borderId="15" xfId="1" applyFont="1" applyFill="1" applyBorder="1" applyAlignment="1">
      <alignment horizontal="center" vertical="center"/>
    </xf>
    <xf numFmtId="3" fontId="36" fillId="0" borderId="11" xfId="0" applyNumberFormat="1" applyFont="1" applyFill="1" applyBorder="1" applyAlignment="1">
      <alignment horizontal="center" vertical="center"/>
    </xf>
    <xf numFmtId="41" fontId="26" fillId="0" borderId="15" xfId="1" applyFont="1" applyFill="1" applyBorder="1" applyAlignment="1">
      <alignment vertical="center"/>
    </xf>
    <xf numFmtId="41" fontId="36" fillId="0" borderId="24" xfId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177" fontId="26" fillId="0" borderId="11" xfId="0" applyNumberFormat="1" applyFont="1" applyBorder="1" applyAlignment="1">
      <alignment horizontal="center" vertical="center" wrapText="1"/>
    </xf>
    <xf numFmtId="41" fontId="26" fillId="0" borderId="15" xfId="1" applyFont="1" applyFill="1" applyBorder="1" applyAlignment="1">
      <alignment horizontal="center" vertical="center"/>
    </xf>
    <xf numFmtId="41" fontId="26" fillId="0" borderId="15" xfId="1" applyFont="1" applyFill="1" applyBorder="1">
      <alignment vertical="center"/>
    </xf>
    <xf numFmtId="0" fontId="36" fillId="0" borderId="15" xfId="0" applyFont="1" applyBorder="1" applyAlignment="1">
      <alignment horizontal="center" vertical="center" wrapText="1" readingOrder="1"/>
    </xf>
    <xf numFmtId="0" fontId="26" fillId="0" borderId="11" xfId="0" applyFont="1" applyBorder="1">
      <alignment vertical="center"/>
    </xf>
    <xf numFmtId="41" fontId="28" fillId="0" borderId="3" xfId="9" applyFont="1" applyFill="1" applyBorder="1" applyAlignment="1">
      <alignment horizontal="center" vertical="center"/>
    </xf>
    <xf numFmtId="41" fontId="3" fillId="0" borderId="3" xfId="9" quotePrefix="1" applyFont="1" applyFill="1" applyBorder="1" applyAlignment="1">
      <alignment horizontal="center" vertical="center" wrapText="1"/>
    </xf>
    <xf numFmtId="41" fontId="28" fillId="0" borderId="3" xfId="9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 readingOrder="1"/>
    </xf>
    <xf numFmtId="41" fontId="28" fillId="0" borderId="26" xfId="9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readingOrder="1"/>
    </xf>
    <xf numFmtId="41" fontId="8" fillId="3" borderId="1" xfId="1" applyFont="1" applyFill="1" applyBorder="1">
      <alignment vertical="center"/>
    </xf>
    <xf numFmtId="0" fontId="6" fillId="0" borderId="1" xfId="0" applyFont="1" applyFill="1" applyBorder="1" applyAlignment="1">
      <alignment horizontal="center" vertical="center" readingOrder="1"/>
    </xf>
    <xf numFmtId="41" fontId="26" fillId="0" borderId="2" xfId="1" applyFont="1" applyFill="1" applyBorder="1" applyAlignment="1">
      <alignment horizontal="center" vertical="center"/>
    </xf>
    <xf numFmtId="41" fontId="26" fillId="0" borderId="11" xfId="1" applyFont="1" applyFill="1" applyBorder="1" applyAlignment="1">
      <alignment horizontal="center" vertical="center"/>
    </xf>
    <xf numFmtId="41" fontId="26" fillId="0" borderId="1" xfId="9" applyFont="1" applyFill="1" applyBorder="1" applyAlignment="1">
      <alignment horizontal="center" vertical="center" wrapText="1"/>
    </xf>
    <xf numFmtId="41" fontId="26" fillId="0" borderId="5" xfId="9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readingOrder="1"/>
    </xf>
    <xf numFmtId="41" fontId="6" fillId="3" borderId="1" xfId="1" applyFont="1" applyFill="1" applyBorder="1" applyAlignment="1">
      <alignment horizontal="center" vertical="center" wrapText="1"/>
    </xf>
    <xf numFmtId="41" fontId="6" fillId="0" borderId="1" xfId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readingOrder="1"/>
    </xf>
    <xf numFmtId="41" fontId="6" fillId="0" borderId="3" xfId="1" applyFont="1" applyFill="1" applyBorder="1" applyAlignment="1">
      <alignment horizontal="center" vertical="center" wrapText="1"/>
    </xf>
    <xf numFmtId="41" fontId="6" fillId="0" borderId="1" xfId="9" applyFont="1" applyFill="1" applyBorder="1" applyAlignment="1">
      <alignment horizontal="center" vertical="center" readingOrder="1"/>
    </xf>
    <xf numFmtId="41" fontId="6" fillId="0" borderId="1" xfId="1" applyFont="1" applyFill="1" applyBorder="1">
      <alignment vertical="center"/>
    </xf>
    <xf numFmtId="41" fontId="6" fillId="3" borderId="1" xfId="1" applyFont="1" applyFill="1" applyBorder="1">
      <alignment vertical="center"/>
    </xf>
    <xf numFmtId="41" fontId="3" fillId="0" borderId="14" xfId="1" applyFont="1" applyFill="1" applyBorder="1" applyAlignment="1">
      <alignment horizontal="center" vertical="center"/>
    </xf>
    <xf numFmtId="41" fontId="3" fillId="0" borderId="25" xfId="1" applyFont="1" applyFill="1" applyBorder="1" applyAlignment="1">
      <alignment horizontal="center" vertical="center"/>
    </xf>
    <xf numFmtId="41" fontId="3" fillId="0" borderId="15" xfId="1" applyFont="1" applyFill="1" applyBorder="1" applyAlignment="1">
      <alignment horizontal="center" vertical="center"/>
    </xf>
    <xf numFmtId="41" fontId="3" fillId="0" borderId="27" xfId="1" applyFont="1" applyFill="1" applyBorder="1" applyAlignment="1">
      <alignment horizontal="center" vertical="center"/>
    </xf>
    <xf numFmtId="41" fontId="3" fillId="0" borderId="16" xfId="1" applyFont="1" applyFill="1" applyBorder="1" applyAlignment="1">
      <alignment horizontal="center" vertical="center"/>
    </xf>
    <xf numFmtId="41" fontId="3" fillId="0" borderId="29" xfId="1" applyFont="1" applyFill="1" applyBorder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43" fillId="0" borderId="18" xfId="0" applyFont="1" applyFill="1" applyBorder="1" applyAlignment="1">
      <alignment horizontal="center" vertical="center" wrapText="1"/>
    </xf>
    <xf numFmtId="3" fontId="43" fillId="0" borderId="18" xfId="0" applyNumberFormat="1" applyFont="1" applyFill="1" applyBorder="1" applyAlignment="1">
      <alignment horizontal="center" vertical="center" wrapText="1"/>
    </xf>
    <xf numFmtId="3" fontId="43" fillId="0" borderId="18" xfId="0" applyNumberFormat="1" applyFont="1" applyBorder="1" applyAlignment="1">
      <alignment horizontal="center" vertical="center" wrapText="1"/>
    </xf>
    <xf numFmtId="41" fontId="26" fillId="0" borderId="15" xfId="0" applyNumberFormat="1" applyFont="1" applyBorder="1" applyAlignment="1">
      <alignment horizontal="center" vertical="center"/>
    </xf>
    <xf numFmtId="0" fontId="36" fillId="3" borderId="14" xfId="0" applyFont="1" applyFill="1" applyBorder="1" applyAlignment="1">
      <alignment horizontal="center" vertical="center"/>
    </xf>
    <xf numFmtId="41" fontId="36" fillId="3" borderId="14" xfId="1" applyFont="1" applyFill="1" applyBorder="1" applyAlignment="1">
      <alignment horizontal="center" vertical="center"/>
    </xf>
    <xf numFmtId="0" fontId="36" fillId="3" borderId="15" xfId="0" applyFont="1" applyFill="1" applyBorder="1" applyAlignment="1">
      <alignment horizontal="center" vertical="center" wrapText="1" readingOrder="1"/>
    </xf>
    <xf numFmtId="0" fontId="36" fillId="0" borderId="15" xfId="0" applyFont="1" applyBorder="1" applyAlignment="1">
      <alignment horizontal="center" vertical="center" wrapText="1"/>
    </xf>
    <xf numFmtId="3" fontId="36" fillId="0" borderId="14" xfId="0" applyNumberFormat="1" applyFont="1" applyFill="1" applyBorder="1" applyAlignment="1">
      <alignment horizontal="center" vertical="center"/>
    </xf>
    <xf numFmtId="3" fontId="36" fillId="0" borderId="15" xfId="0" applyNumberFormat="1" applyFont="1" applyFill="1" applyBorder="1" applyAlignment="1">
      <alignment horizontal="center" vertical="center"/>
    </xf>
    <xf numFmtId="3" fontId="36" fillId="0" borderId="24" xfId="0" applyNumberFormat="1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/>
    </xf>
    <xf numFmtId="41" fontId="26" fillId="0" borderId="24" xfId="1" applyFont="1" applyFill="1" applyBorder="1" applyAlignment="1">
      <alignment horizontal="center" vertical="center"/>
    </xf>
    <xf numFmtId="41" fontId="26" fillId="0" borderId="24" xfId="1" applyFont="1" applyFill="1" applyBorder="1" applyAlignment="1">
      <alignment vertical="center"/>
    </xf>
    <xf numFmtId="41" fontId="36" fillId="3" borderId="24" xfId="1" applyFont="1" applyFill="1" applyBorder="1" applyAlignment="1">
      <alignment horizontal="center" vertical="center"/>
    </xf>
    <xf numFmtId="41" fontId="26" fillId="3" borderId="15" xfId="1" applyFont="1" applyFill="1" applyBorder="1">
      <alignment vertical="center"/>
    </xf>
    <xf numFmtId="41" fontId="26" fillId="3" borderId="15" xfId="1" applyFont="1" applyFill="1" applyBorder="1" applyAlignment="1">
      <alignment vertical="center"/>
    </xf>
    <xf numFmtId="41" fontId="26" fillId="3" borderId="24" xfId="1" applyFont="1" applyFill="1" applyBorder="1" applyAlignment="1">
      <alignment vertical="center"/>
    </xf>
    <xf numFmtId="41" fontId="28" fillId="3" borderId="1" xfId="1" applyFont="1" applyFill="1" applyBorder="1" applyAlignment="1">
      <alignment horizontal="center" vertical="center"/>
    </xf>
    <xf numFmtId="41" fontId="3" fillId="3" borderId="1" xfId="1" quotePrefix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 readingOrder="1"/>
    </xf>
    <xf numFmtId="3" fontId="15" fillId="3" borderId="1" xfId="0" applyNumberFormat="1" applyFont="1" applyFill="1" applyBorder="1" applyAlignment="1">
      <alignment horizontal="center" vertical="center" wrapText="1" readingOrder="1"/>
    </xf>
    <xf numFmtId="41" fontId="28" fillId="0" borderId="1" xfId="1" applyFont="1" applyFill="1" applyBorder="1" applyAlignment="1">
      <alignment horizontal="left" vertical="center"/>
    </xf>
    <xf numFmtId="41" fontId="8" fillId="0" borderId="2" xfId="9" applyFont="1" applyFill="1" applyBorder="1" applyAlignment="1">
      <alignment horizontal="center" vertical="center"/>
    </xf>
    <xf numFmtId="41" fontId="8" fillId="0" borderId="3" xfId="9" applyFont="1" applyFill="1" applyBorder="1" applyAlignment="1">
      <alignment horizontal="center" vertical="center"/>
    </xf>
    <xf numFmtId="41" fontId="8" fillId="0" borderId="4" xfId="9" applyFont="1" applyFill="1" applyBorder="1" applyAlignment="1">
      <alignment horizontal="center" vertical="center"/>
    </xf>
    <xf numFmtId="41" fontId="8" fillId="0" borderId="5" xfId="9" applyFont="1" applyFill="1" applyBorder="1" applyAlignment="1">
      <alignment horizontal="center" vertical="center"/>
    </xf>
    <xf numFmtId="41" fontId="8" fillId="0" borderId="2" xfId="9" applyFont="1" applyFill="1" applyBorder="1" applyAlignment="1">
      <alignment horizontal="center" vertical="center" wrapText="1"/>
    </xf>
    <xf numFmtId="41" fontId="8" fillId="0" borderId="11" xfId="9" applyFont="1" applyFill="1" applyBorder="1" applyAlignment="1">
      <alignment horizontal="center" vertical="center" wrapText="1"/>
    </xf>
    <xf numFmtId="41" fontId="28" fillId="0" borderId="2" xfId="1" applyFont="1" applyFill="1" applyBorder="1" applyAlignment="1">
      <alignment horizontal="center" vertical="center" wrapText="1"/>
    </xf>
    <xf numFmtId="41" fontId="28" fillId="0" borderId="3" xfId="1" applyFont="1" applyFill="1" applyBorder="1" applyAlignment="1">
      <alignment horizontal="center" vertical="center" wrapText="1"/>
    </xf>
    <xf numFmtId="41" fontId="28" fillId="0" borderId="1" xfId="1" applyFont="1" applyFill="1" applyBorder="1" applyAlignment="1">
      <alignment horizontal="center" vertical="center"/>
    </xf>
    <xf numFmtId="41" fontId="38" fillId="0" borderId="2" xfId="1" applyFont="1" applyFill="1" applyBorder="1" applyAlignment="1">
      <alignment horizontal="center" vertical="center"/>
    </xf>
    <xf numFmtId="41" fontId="38" fillId="0" borderId="11" xfId="1" applyFont="1" applyFill="1" applyBorder="1" applyAlignment="1">
      <alignment horizontal="center" vertical="center"/>
    </xf>
    <xf numFmtId="41" fontId="38" fillId="0" borderId="3" xfId="1" applyFont="1" applyFill="1" applyBorder="1" applyAlignment="1">
      <alignment horizontal="center" vertical="center"/>
    </xf>
    <xf numFmtId="41" fontId="23" fillId="0" borderId="2" xfId="9" applyFont="1" applyFill="1" applyBorder="1" applyAlignment="1">
      <alignment horizontal="center" vertical="center" wrapText="1"/>
    </xf>
    <xf numFmtId="177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41" fontId="26" fillId="0" borderId="14" xfId="1" applyFont="1" applyFill="1" applyBorder="1" applyAlignment="1">
      <alignment horizontal="center" vertical="center"/>
    </xf>
    <xf numFmtId="41" fontId="26" fillId="3" borderId="15" xfId="1" applyFont="1" applyFill="1" applyBorder="1" applyAlignment="1">
      <alignment horizontal="center" vertical="center"/>
    </xf>
    <xf numFmtId="41" fontId="26" fillId="3" borderId="24" xfId="1" applyFont="1" applyFill="1" applyBorder="1" applyAlignment="1">
      <alignment horizontal="center" vertical="center"/>
    </xf>
    <xf numFmtId="0" fontId="36" fillId="3" borderId="24" xfId="0" applyFont="1" applyFill="1" applyBorder="1" applyAlignment="1">
      <alignment horizontal="center" vertical="center" wrapText="1" readingOrder="1"/>
    </xf>
    <xf numFmtId="41" fontId="26" fillId="0" borderId="24" xfId="1" applyFont="1" applyFill="1" applyBorder="1">
      <alignment vertical="center"/>
    </xf>
    <xf numFmtId="0" fontId="36" fillId="0" borderId="24" xfId="0" applyFont="1" applyBorder="1" applyAlignment="1">
      <alignment horizontal="center" vertical="center" wrapText="1"/>
    </xf>
    <xf numFmtId="41" fontId="26" fillId="3" borderId="24" xfId="1" applyFont="1" applyFill="1" applyBorder="1">
      <alignment vertical="center"/>
    </xf>
    <xf numFmtId="41" fontId="26" fillId="0" borderId="2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7" fontId="44" fillId="0" borderId="2" xfId="0" applyNumberFormat="1" applyFont="1" applyBorder="1" applyAlignment="1">
      <alignment horizontal="center" vertical="center" wrapText="1"/>
    </xf>
    <xf numFmtId="41" fontId="26" fillId="3" borderId="14" xfId="1" applyFont="1" applyFill="1" applyBorder="1" applyAlignment="1">
      <alignment vertical="center"/>
    </xf>
    <xf numFmtId="3" fontId="36" fillId="3" borderId="11" xfId="0" applyNumberFormat="1" applyFont="1" applyFill="1" applyBorder="1" applyAlignment="1">
      <alignment horizontal="center" vertical="center"/>
    </xf>
    <xf numFmtId="0" fontId="26" fillId="3" borderId="11" xfId="0" applyFont="1" applyFill="1" applyBorder="1">
      <alignment vertical="center"/>
    </xf>
    <xf numFmtId="41" fontId="8" fillId="0" borderId="3" xfId="1" applyFont="1" applyFill="1" applyBorder="1" applyAlignment="1">
      <alignment horizontal="center" vertical="center"/>
    </xf>
    <xf numFmtId="41" fontId="28" fillId="0" borderId="2" xfId="9" applyFont="1" applyFill="1" applyBorder="1" applyAlignment="1">
      <alignment horizontal="center" vertical="center" wrapText="1"/>
    </xf>
    <xf numFmtId="41" fontId="28" fillId="0" borderId="11" xfId="9" applyFont="1" applyFill="1" applyBorder="1" applyAlignment="1">
      <alignment horizontal="center" vertical="center" wrapText="1"/>
    </xf>
    <xf numFmtId="41" fontId="28" fillId="0" borderId="1" xfId="9" applyFont="1" applyFill="1" applyBorder="1" applyAlignment="1">
      <alignment horizontal="center" vertical="center"/>
    </xf>
    <xf numFmtId="41" fontId="28" fillId="0" borderId="4" xfId="9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41" fontId="11" fillId="3" borderId="0" xfId="9" applyFont="1" applyFill="1" applyAlignment="1">
      <alignment horizontal="left" vertical="center"/>
    </xf>
    <xf numFmtId="41" fontId="8" fillId="3" borderId="0" xfId="9" applyFont="1" applyFill="1" applyAlignment="1">
      <alignment horizontal="center" vertical="center"/>
    </xf>
    <xf numFmtId="13" fontId="8" fillId="3" borderId="2" xfId="9" quotePrefix="1" applyNumberFormat="1" applyFont="1" applyFill="1" applyBorder="1" applyAlignment="1">
      <alignment horizontal="center" vertical="center" wrapText="1"/>
    </xf>
    <xf numFmtId="13" fontId="8" fillId="3" borderId="1" xfId="9" quotePrefix="1" applyNumberFormat="1" applyFont="1" applyFill="1" applyBorder="1" applyAlignment="1">
      <alignment horizontal="center" vertical="center" wrapText="1"/>
    </xf>
    <xf numFmtId="41" fontId="27" fillId="3" borderId="0" xfId="1" applyFont="1" applyFill="1" applyAlignment="1">
      <alignment horizontal="left" vertical="center"/>
    </xf>
    <xf numFmtId="41" fontId="3" fillId="3" borderId="0" xfId="1" applyFont="1" applyFill="1" applyAlignment="1">
      <alignment horizontal="left" vertical="center"/>
    </xf>
    <xf numFmtId="41" fontId="28" fillId="3" borderId="0" xfId="1" applyFont="1" applyFill="1">
      <alignment vertical="center"/>
    </xf>
    <xf numFmtId="41" fontId="28" fillId="8" borderId="14" xfId="9" applyFont="1" applyFill="1" applyBorder="1" applyAlignment="1">
      <alignment horizontal="center" vertical="center"/>
    </xf>
    <xf numFmtId="0" fontId="28" fillId="8" borderId="14" xfId="0" applyFont="1" applyFill="1" applyBorder="1" applyAlignment="1">
      <alignment horizontal="center" vertical="center" wrapText="1" readingOrder="1"/>
    </xf>
    <xf numFmtId="41" fontId="3" fillId="8" borderId="14" xfId="1" applyFont="1" applyFill="1" applyBorder="1" applyAlignment="1">
      <alignment horizontal="center" vertical="center"/>
    </xf>
    <xf numFmtId="41" fontId="3" fillId="8" borderId="25" xfId="1" applyFont="1" applyFill="1" applyBorder="1" applyAlignment="1">
      <alignment horizontal="center" vertical="center"/>
    </xf>
    <xf numFmtId="41" fontId="3" fillId="8" borderId="14" xfId="9" applyFont="1" applyFill="1" applyBorder="1" applyAlignment="1">
      <alignment vertical="center" wrapText="1"/>
    </xf>
    <xf numFmtId="41" fontId="28" fillId="8" borderId="26" xfId="9" applyFont="1" applyFill="1" applyBorder="1" applyAlignment="1">
      <alignment horizontal="center" vertical="center"/>
    </xf>
    <xf numFmtId="41" fontId="28" fillId="8" borderId="15" xfId="9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 wrapText="1" readingOrder="1"/>
    </xf>
    <xf numFmtId="41" fontId="3" fillId="8" borderId="15" xfId="1" applyFont="1" applyFill="1" applyBorder="1" applyAlignment="1">
      <alignment horizontal="center" vertical="center"/>
    </xf>
    <xf numFmtId="41" fontId="3" fillId="8" borderId="27" xfId="1" applyFont="1" applyFill="1" applyBorder="1" applyAlignment="1">
      <alignment horizontal="center" vertical="center"/>
    </xf>
    <xf numFmtId="41" fontId="3" fillId="8" borderId="15" xfId="9" applyFont="1" applyFill="1" applyBorder="1" applyAlignment="1">
      <alignment vertical="center" wrapText="1"/>
    </xf>
    <xf numFmtId="41" fontId="28" fillId="8" borderId="28" xfId="9" applyFont="1" applyFill="1" applyBorder="1" applyAlignment="1">
      <alignment horizontal="center" vertical="center"/>
    </xf>
    <xf numFmtId="0" fontId="27" fillId="8" borderId="15" xfId="0" applyFont="1" applyFill="1" applyBorder="1" applyAlignment="1">
      <alignment horizontal="center" vertical="center" wrapText="1" readingOrder="1"/>
    </xf>
    <xf numFmtId="41" fontId="28" fillId="8" borderId="16" xfId="9" applyFont="1" applyFill="1" applyBorder="1" applyAlignment="1">
      <alignment horizontal="center" vertical="center"/>
    </xf>
    <xf numFmtId="0" fontId="28" fillId="8" borderId="16" xfId="0" applyFont="1" applyFill="1" applyBorder="1" applyAlignment="1">
      <alignment horizontal="center" vertical="center" wrapText="1" readingOrder="1"/>
    </xf>
    <xf numFmtId="41" fontId="3" fillId="8" borderId="16" xfId="1" applyFont="1" applyFill="1" applyBorder="1" applyAlignment="1">
      <alignment horizontal="center" vertical="center"/>
    </xf>
    <xf numFmtId="41" fontId="3" fillId="8" borderId="29" xfId="1" applyFont="1" applyFill="1" applyBorder="1" applyAlignment="1">
      <alignment horizontal="center" vertical="center"/>
    </xf>
    <xf numFmtId="41" fontId="3" fillId="8" borderId="16" xfId="9" applyFont="1" applyFill="1" applyBorder="1" applyAlignment="1">
      <alignment vertical="center" wrapText="1"/>
    </xf>
    <xf numFmtId="41" fontId="28" fillId="8" borderId="30" xfId="9" applyFont="1" applyFill="1" applyBorder="1" applyAlignment="1">
      <alignment horizontal="center" vertical="center"/>
    </xf>
    <xf numFmtId="41" fontId="28" fillId="0" borderId="0" xfId="9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 readingOrder="1"/>
    </xf>
    <xf numFmtId="41" fontId="3" fillId="0" borderId="0" xfId="1" applyFont="1" applyFill="1" applyBorder="1" applyAlignment="1">
      <alignment horizontal="center" vertical="center"/>
    </xf>
    <xf numFmtId="41" fontId="3" fillId="0" borderId="0" xfId="9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41" fontId="26" fillId="0" borderId="3" xfId="1" applyFont="1" applyFill="1" applyBorder="1" applyAlignment="1">
      <alignment horizontal="center" vertical="center"/>
    </xf>
    <xf numFmtId="0" fontId="36" fillId="3" borderId="16" xfId="0" applyFont="1" applyFill="1" applyBorder="1" applyAlignment="1">
      <alignment horizontal="center" vertical="center"/>
    </xf>
    <xf numFmtId="41" fontId="36" fillId="0" borderId="16" xfId="1" applyFont="1" applyFill="1" applyBorder="1" applyAlignment="1">
      <alignment horizontal="center" vertical="center"/>
    </xf>
    <xf numFmtId="41" fontId="36" fillId="3" borderId="16" xfId="1" applyFont="1" applyFill="1" applyBorder="1" applyAlignment="1">
      <alignment horizontal="center" vertical="center"/>
    </xf>
    <xf numFmtId="3" fontId="36" fillId="0" borderId="16" xfId="0" applyNumberFormat="1" applyFont="1" applyFill="1" applyBorder="1" applyAlignment="1">
      <alignment horizontal="center" vertical="center"/>
    </xf>
    <xf numFmtId="41" fontId="26" fillId="0" borderId="16" xfId="1" applyFont="1" applyFill="1" applyBorder="1" applyAlignment="1">
      <alignment horizontal="center" vertical="center"/>
    </xf>
    <xf numFmtId="41" fontId="26" fillId="0" borderId="16" xfId="1" applyFont="1" applyFill="1" applyBorder="1" applyAlignment="1">
      <alignment vertical="center"/>
    </xf>
    <xf numFmtId="3" fontId="36" fillId="3" borderId="3" xfId="0" applyNumberFormat="1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 wrapText="1" readingOrder="1"/>
    </xf>
    <xf numFmtId="0" fontId="23" fillId="7" borderId="34" xfId="0" applyFont="1" applyFill="1" applyBorder="1" applyAlignment="1">
      <alignment horizontal="center" vertical="center" shrinkToFit="1"/>
    </xf>
    <xf numFmtId="0" fontId="23" fillId="7" borderId="34" xfId="0" applyFont="1" applyFill="1" applyBorder="1" applyAlignment="1">
      <alignment horizontal="center" vertical="center" shrinkToFit="1" readingOrder="1"/>
    </xf>
    <xf numFmtId="0" fontId="8" fillId="3" borderId="0" xfId="0" applyFont="1" applyFill="1" applyAlignment="1">
      <alignment horizontal="left" vertical="center"/>
    </xf>
    <xf numFmtId="41" fontId="8" fillId="0" borderId="2" xfId="9" applyFont="1" applyFill="1" applyBorder="1" applyAlignment="1">
      <alignment horizontal="center" vertical="center"/>
    </xf>
    <xf numFmtId="41" fontId="8" fillId="0" borderId="3" xfId="9" applyFont="1" applyFill="1" applyBorder="1" applyAlignment="1">
      <alignment horizontal="center" vertical="center"/>
    </xf>
    <xf numFmtId="41" fontId="8" fillId="0" borderId="4" xfId="9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1" fontId="8" fillId="0" borderId="4" xfId="9" applyFont="1" applyFill="1" applyBorder="1" applyAlignment="1">
      <alignment horizontal="center" vertical="center"/>
    </xf>
    <xf numFmtId="41" fontId="28" fillId="0" borderId="1" xfId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1" fillId="0" borderId="0" xfId="0" quotePrefix="1" applyFont="1" applyFill="1" applyBorder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178" fontId="8" fillId="0" borderId="1" xfId="1" applyNumberFormat="1" applyFont="1" applyFill="1" applyBorder="1" applyAlignment="1">
      <alignment horizontal="center" vertical="center"/>
    </xf>
    <xf numFmtId="41" fontId="25" fillId="0" borderId="1" xfId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 readingOrder="1"/>
    </xf>
    <xf numFmtId="41" fontId="8" fillId="0" borderId="2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center" vertical="center"/>
    </xf>
    <xf numFmtId="41" fontId="8" fillId="0" borderId="4" xfId="1" applyFont="1" applyFill="1" applyBorder="1" applyAlignment="1">
      <alignment horizontal="center" vertical="center"/>
    </xf>
    <xf numFmtId="41" fontId="23" fillId="0" borderId="5" xfId="9" applyFont="1" applyFill="1" applyBorder="1" applyAlignment="1">
      <alignment horizontal="center" vertical="center"/>
    </xf>
    <xf numFmtId="41" fontId="23" fillId="0" borderId="1" xfId="9" applyFont="1" applyFill="1" applyBorder="1" applyAlignment="1">
      <alignment horizontal="center" vertical="center"/>
    </xf>
    <xf numFmtId="41" fontId="23" fillId="0" borderId="4" xfId="9" applyFont="1" applyFill="1" applyBorder="1" applyAlignment="1">
      <alignment horizontal="center" vertical="center"/>
    </xf>
    <xf numFmtId="41" fontId="23" fillId="0" borderId="2" xfId="9" applyFont="1" applyFill="1" applyBorder="1" applyAlignment="1">
      <alignment horizontal="center" vertical="center" wrapText="1"/>
    </xf>
    <xf numFmtId="41" fontId="23" fillId="0" borderId="11" xfId="9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40" fillId="3" borderId="0" xfId="0" applyFont="1" applyFill="1">
      <alignment vertical="center"/>
    </xf>
    <xf numFmtId="0" fontId="40" fillId="0" borderId="1" xfId="0" applyFont="1" applyBorder="1">
      <alignment vertical="center"/>
    </xf>
    <xf numFmtId="0" fontId="40" fillId="9" borderId="1" xfId="0" applyFont="1" applyFill="1" applyBorder="1" applyAlignment="1">
      <alignment horizontal="center" vertical="center"/>
    </xf>
    <xf numFmtId="0" fontId="40" fillId="9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8" fillId="3" borderId="3" xfId="0" applyFont="1" applyFill="1" applyBorder="1">
      <alignment vertical="center"/>
    </xf>
    <xf numFmtId="41" fontId="8" fillId="0" borderId="2" xfId="1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41" fontId="11" fillId="0" borderId="1" xfId="9" applyFont="1" applyFill="1" applyBorder="1" applyAlignment="1">
      <alignment horizontal="center" vertical="center" wrapText="1" readingOrder="1"/>
    </xf>
    <xf numFmtId="41" fontId="11" fillId="0" borderId="11" xfId="9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horizontal="center" vertical="center" wrapText="1" readingOrder="1"/>
    </xf>
    <xf numFmtId="41" fontId="11" fillId="0" borderId="1" xfId="1" applyFont="1" applyFill="1" applyBorder="1" applyAlignment="1">
      <alignment horizontal="center" vertical="center" wrapText="1"/>
    </xf>
    <xf numFmtId="41" fontId="11" fillId="0" borderId="5" xfId="9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6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1" fontId="8" fillId="0" borderId="0" xfId="0" applyNumberFormat="1" applyFont="1" applyAlignment="1">
      <alignment horizontal="center" vertical="center"/>
    </xf>
    <xf numFmtId="0" fontId="24" fillId="0" borderId="0" xfId="0" applyFont="1">
      <alignment vertical="center"/>
    </xf>
    <xf numFmtId="0" fontId="4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left" vertical="center"/>
    </xf>
    <xf numFmtId="0" fontId="11" fillId="10" borderId="35" xfId="0" applyFont="1" applyFill="1" applyBorder="1" applyAlignment="1">
      <alignment horizontal="center" vertical="center"/>
    </xf>
    <xf numFmtId="0" fontId="11" fillId="10" borderId="36" xfId="0" applyFont="1" applyFill="1" applyBorder="1" applyAlignment="1">
      <alignment horizontal="center" vertical="center"/>
    </xf>
    <xf numFmtId="41" fontId="49" fillId="10" borderId="37" xfId="1" applyFont="1" applyFill="1" applyBorder="1" applyAlignment="1">
      <alignment horizontal="center" vertical="center"/>
    </xf>
    <xf numFmtId="41" fontId="49" fillId="10" borderId="38" xfId="1" applyFont="1" applyFill="1" applyBorder="1" applyAlignment="1">
      <alignment horizontal="center" vertical="center"/>
    </xf>
    <xf numFmtId="41" fontId="50" fillId="10" borderId="38" xfId="1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center" vertical="center"/>
    </xf>
    <xf numFmtId="41" fontId="8" fillId="0" borderId="2" xfId="9" applyFont="1" applyFill="1" applyBorder="1" applyAlignment="1">
      <alignment horizontal="center" vertical="center"/>
    </xf>
    <xf numFmtId="41" fontId="8" fillId="0" borderId="3" xfId="9" applyFont="1" applyFill="1" applyBorder="1" applyAlignment="1">
      <alignment horizontal="center" vertical="center"/>
    </xf>
    <xf numFmtId="41" fontId="8" fillId="0" borderId="4" xfId="9" applyFont="1" applyFill="1" applyBorder="1" applyAlignment="1">
      <alignment horizontal="center" vertical="center"/>
    </xf>
    <xf numFmtId="41" fontId="8" fillId="0" borderId="6" xfId="9" applyFont="1" applyFill="1" applyBorder="1" applyAlignment="1">
      <alignment horizontal="center" vertical="center"/>
    </xf>
    <xf numFmtId="41" fontId="8" fillId="0" borderId="5" xfId="9" applyFont="1" applyFill="1" applyBorder="1" applyAlignment="1">
      <alignment horizontal="center" vertical="center"/>
    </xf>
    <xf numFmtId="41" fontId="8" fillId="0" borderId="2" xfId="9" applyFont="1" applyFill="1" applyBorder="1" applyAlignment="1">
      <alignment horizontal="center" vertical="center" wrapText="1"/>
    </xf>
    <xf numFmtId="41" fontId="8" fillId="0" borderId="11" xfId="9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/>
    </xf>
    <xf numFmtId="41" fontId="8" fillId="0" borderId="6" xfId="1" applyFont="1" applyFill="1" applyBorder="1" applyAlignment="1">
      <alignment horizontal="center" vertical="center"/>
    </xf>
    <xf numFmtId="41" fontId="8" fillId="0" borderId="5" xfId="1" applyFont="1" applyFill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3" xfId="9" applyFont="1" applyFill="1" applyBorder="1" applyAlignment="1">
      <alignment horizontal="center" vertical="center" wrapText="1"/>
    </xf>
    <xf numFmtId="41" fontId="8" fillId="0" borderId="31" xfId="9" applyFont="1" applyFill="1" applyBorder="1" applyAlignment="1">
      <alignment horizontal="center" vertical="center"/>
    </xf>
    <xf numFmtId="41" fontId="8" fillId="0" borderId="32" xfId="9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1" fontId="28" fillId="0" borderId="2" xfId="1" applyFont="1" applyFill="1" applyBorder="1" applyAlignment="1">
      <alignment horizontal="center" vertical="center" wrapText="1"/>
    </xf>
    <xf numFmtId="41" fontId="28" fillId="0" borderId="3" xfId="1" applyFont="1" applyFill="1" applyBorder="1" applyAlignment="1">
      <alignment horizontal="center" vertical="center" wrapText="1"/>
    </xf>
    <xf numFmtId="41" fontId="28" fillId="0" borderId="1" xfId="1" applyFont="1" applyFill="1" applyBorder="1" applyAlignment="1">
      <alignment horizontal="center" vertical="center"/>
    </xf>
    <xf numFmtId="41" fontId="38" fillId="0" borderId="2" xfId="1" applyFont="1" applyFill="1" applyBorder="1" applyAlignment="1">
      <alignment horizontal="center" vertical="center"/>
    </xf>
    <xf numFmtId="41" fontId="38" fillId="0" borderId="11" xfId="1" applyFont="1" applyFill="1" applyBorder="1" applyAlignment="1">
      <alignment horizontal="center" vertical="center"/>
    </xf>
    <xf numFmtId="41" fontId="38" fillId="0" borderId="3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41" fontId="26" fillId="0" borderId="2" xfId="9" applyFont="1" applyFill="1" applyBorder="1" applyAlignment="1">
      <alignment horizontal="center" vertical="center" wrapText="1"/>
    </xf>
    <xf numFmtId="41" fontId="26" fillId="0" borderId="3" xfId="9" applyFont="1" applyFill="1" applyBorder="1" applyAlignment="1">
      <alignment horizontal="center" vertical="center" wrapText="1"/>
    </xf>
    <xf numFmtId="41" fontId="23" fillId="0" borderId="5" xfId="9" applyFont="1" applyFill="1" applyBorder="1" applyAlignment="1">
      <alignment horizontal="center" vertical="center"/>
    </xf>
    <xf numFmtId="41" fontId="23" fillId="0" borderId="1" xfId="9" applyFont="1" applyFill="1" applyBorder="1" applyAlignment="1">
      <alignment horizontal="center" vertical="center"/>
    </xf>
    <xf numFmtId="41" fontId="23" fillId="0" borderId="4" xfId="9" applyFont="1" applyFill="1" applyBorder="1" applyAlignment="1">
      <alignment horizontal="center" vertical="center"/>
    </xf>
    <xf numFmtId="41" fontId="23" fillId="0" borderId="2" xfId="9" applyFont="1" applyFill="1" applyBorder="1" applyAlignment="1">
      <alignment horizontal="center" vertical="center" wrapText="1"/>
    </xf>
    <xf numFmtId="41" fontId="23" fillId="0" borderId="11" xfId="9" applyFont="1" applyFill="1" applyBorder="1" applyAlignment="1">
      <alignment horizontal="center" vertical="center" wrapText="1"/>
    </xf>
    <xf numFmtId="41" fontId="28" fillId="0" borderId="1" xfId="9" applyFont="1" applyFill="1" applyBorder="1" applyAlignment="1">
      <alignment horizontal="center" vertical="center"/>
    </xf>
    <xf numFmtId="41" fontId="28" fillId="0" borderId="4" xfId="9" applyFont="1" applyFill="1" applyBorder="1" applyAlignment="1">
      <alignment horizontal="center" vertical="center"/>
    </xf>
    <xf numFmtId="41" fontId="28" fillId="0" borderId="2" xfId="9" applyFont="1" applyFill="1" applyBorder="1" applyAlignment="1">
      <alignment horizontal="center" vertical="center" wrapText="1"/>
    </xf>
    <xf numFmtId="41" fontId="28" fillId="0" borderId="11" xfId="9" applyFont="1" applyFill="1" applyBorder="1" applyAlignment="1">
      <alignment horizontal="center" vertical="center" wrapText="1"/>
    </xf>
    <xf numFmtId="41" fontId="28" fillId="0" borderId="5" xfId="9" applyFont="1" applyFill="1" applyBorder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 readingOrder="1"/>
    </xf>
    <xf numFmtId="0" fontId="34" fillId="0" borderId="12" xfId="0" applyFont="1" applyBorder="1" applyAlignment="1">
      <alignment horizontal="center" vertical="center" wrapText="1" readingOrder="1"/>
    </xf>
    <xf numFmtId="0" fontId="34" fillId="0" borderId="10" xfId="0" applyFont="1" applyBorder="1" applyAlignment="1">
      <alignment horizontal="center" vertical="center" wrapText="1" readingOrder="1"/>
    </xf>
  </cellXfs>
  <cellStyles count="12">
    <cellStyle name="쉼표 [0]" xfId="1" builtinId="6"/>
    <cellStyle name="쉼표 [0] 10" xfId="10" xr:uid="{00000000-0005-0000-0000-000001000000}"/>
    <cellStyle name="쉼표 [0] 2" xfId="9" xr:uid="{00000000-0005-0000-0000-000002000000}"/>
    <cellStyle name="쉼표 [0] 2 10 4" xfId="3" xr:uid="{00000000-0005-0000-0000-000003000000}"/>
    <cellStyle name="쉼표 [0] 2 3" xfId="6" xr:uid="{00000000-0005-0000-0000-000004000000}"/>
    <cellStyle name="표준" xfId="0" builtinId="0"/>
    <cellStyle name="표준 135" xfId="4" xr:uid="{00000000-0005-0000-0000-000006000000}"/>
    <cellStyle name="표준 2" xfId="5" xr:uid="{00000000-0005-0000-0000-000007000000}"/>
    <cellStyle name="표준 2 8 2" xfId="8" xr:uid="{00000000-0005-0000-0000-000008000000}"/>
    <cellStyle name="표준 23 2" xfId="2" xr:uid="{00000000-0005-0000-0000-000009000000}"/>
    <cellStyle name="표준 274" xfId="7" xr:uid="{00000000-0005-0000-0000-00000A000000}"/>
    <cellStyle name="표준 3 2" xfId="11" xr:uid="{00000000-0005-0000-0000-00000B000000}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12</xdr:col>
      <xdr:colOff>715314</xdr:colOff>
      <xdr:row>1</xdr:row>
      <xdr:rowOff>404503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4D043E-1980-46ED-AF20-61A765D25130}"/>
            </a:ext>
          </a:extLst>
        </xdr:cNvPr>
        <xdr:cNvSpPr/>
      </xdr:nvSpPr>
      <xdr:spPr>
        <a:xfrm>
          <a:off x="13491483" y="183697"/>
          <a:ext cx="3919795" cy="40450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915502</xdr:colOff>
      <xdr:row>1</xdr:row>
      <xdr:rowOff>34637</xdr:rowOff>
    </xdr:from>
    <xdr:to>
      <xdr:col>12</xdr:col>
      <xdr:colOff>351744</xdr:colOff>
      <xdr:row>2</xdr:row>
      <xdr:rowOff>17318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2325092" y="265958"/>
          <a:ext cx="3919795" cy="40450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363200" y="887506"/>
          <a:ext cx="2554941" cy="34962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25699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22651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22651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22651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22651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221889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221889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221889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221889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221889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2218894" y="885265"/>
          <a:ext cx="3345180" cy="3527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788894</xdr:colOff>
      <xdr:row>3</xdr:row>
      <xdr:rowOff>8965</xdr:rowOff>
    </xdr:from>
    <xdr:to>
      <xdr:col>13</xdr:col>
      <xdr:colOff>179294</xdr:colOff>
      <xdr:row>4</xdr:row>
      <xdr:rowOff>125505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12237944" y="866215"/>
          <a:ext cx="3352800" cy="3451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12</xdr:col>
      <xdr:colOff>1348045</xdr:colOff>
      <xdr:row>1</xdr:row>
      <xdr:rowOff>404503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67F4393-1D79-4277-92BB-12C6DEB1B560}"/>
            </a:ext>
          </a:extLst>
        </xdr:cNvPr>
        <xdr:cNvSpPr/>
      </xdr:nvSpPr>
      <xdr:spPr>
        <a:xfrm>
          <a:off x="15471321" y="231321"/>
          <a:ext cx="3919795" cy="40450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949520</xdr:colOff>
      <xdr:row>0</xdr:row>
      <xdr:rowOff>225136</xdr:rowOff>
    </xdr:from>
    <xdr:to>
      <xdr:col>12</xdr:col>
      <xdr:colOff>385762</xdr:colOff>
      <xdr:row>1</xdr:row>
      <xdr:rowOff>398318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2369995" y="225136"/>
          <a:ext cx="3922517" cy="40178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600" b="1" baseline="0">
              <a:solidFill>
                <a:srgbClr val="FF0000"/>
              </a:solidFill>
            </a:rPr>
            <a:t>행간 중복 적용 불가</a:t>
          </a:r>
          <a:endParaRPr lang="en-US" altLang="ko-KR" sz="1600" b="1" baseline="0">
            <a:solidFill>
              <a:srgbClr val="FF0000"/>
            </a:solidFill>
          </a:endParaRPr>
        </a:p>
        <a:p>
          <a:pPr algn="ctr"/>
          <a:endParaRPr lang="ko-KR" altLang="en-US" sz="16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43962</xdr:colOff>
      <xdr:row>8</xdr:row>
      <xdr:rowOff>424962</xdr:rowOff>
    </xdr:from>
    <xdr:to>
      <xdr:col>7</xdr:col>
      <xdr:colOff>1365739</xdr:colOff>
      <xdr:row>9</xdr:row>
      <xdr:rowOff>370009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253F82-1E1E-4F48-86AE-EC6398A4A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187" y="1653687"/>
          <a:ext cx="8827477" cy="430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00"/>
        </a:solidFill>
      </a:spPr>
      <a:bodyPr vertOverflow="clip" horzOverflow="clip" rtlCol="0" anchor="ctr"/>
      <a:lstStyle>
        <a:defPPr algn="ctr">
          <a:defRPr sz="2400" b="1" baseline="0">
            <a:solidFill>
              <a:srgbClr val="FF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B1:P58"/>
  <sheetViews>
    <sheetView showGridLines="0"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C6" sqref="C6"/>
    </sheetView>
  </sheetViews>
  <sheetFormatPr defaultColWidth="9" defaultRowHeight="20.100000000000001" customHeight="1" x14ac:dyDescent="0.3"/>
  <cols>
    <col min="1" max="1" width="2.25" style="5" customWidth="1"/>
    <col min="2" max="2" width="9.875" style="4" customWidth="1"/>
    <col min="3" max="3" width="13.25" style="4" customWidth="1"/>
    <col min="4" max="4" width="36.375" style="3" bestFit="1" customWidth="1"/>
    <col min="5" max="5" width="9.875" style="3" bestFit="1" customWidth="1"/>
    <col min="6" max="6" width="19.75" style="3" bestFit="1" customWidth="1"/>
    <col min="7" max="7" width="12.375" style="8" bestFit="1" customWidth="1"/>
    <col min="8" max="8" width="14.375" style="4" customWidth="1"/>
    <col min="9" max="9" width="39.125" style="5" bestFit="1" customWidth="1"/>
    <col min="10" max="10" width="19.375" style="5" bestFit="1" customWidth="1"/>
    <col min="11" max="12" width="9" style="5"/>
    <col min="13" max="13" width="20.875" style="5" bestFit="1" customWidth="1"/>
    <col min="14" max="14" width="12.625" style="32" bestFit="1" customWidth="1"/>
    <col min="15" max="15" width="21" style="6" bestFit="1" customWidth="1"/>
    <col min="16" max="16" width="11.75" style="12" bestFit="1" customWidth="1"/>
    <col min="17" max="16384" width="9" style="5"/>
  </cols>
  <sheetData>
    <row r="1" spans="2:15" ht="9.75" customHeight="1" x14ac:dyDescent="0.3">
      <c r="B1" s="5"/>
      <c r="C1" s="5"/>
      <c r="D1" s="6"/>
      <c r="E1" s="6"/>
      <c r="F1" s="6"/>
      <c r="G1" s="12"/>
      <c r="H1" s="5"/>
    </row>
    <row r="2" spans="2:15" ht="39.6" customHeight="1" x14ac:dyDescent="0.3">
      <c r="B2" s="20" t="s">
        <v>58</v>
      </c>
      <c r="C2" s="5"/>
      <c r="D2" s="6"/>
      <c r="E2" s="6"/>
      <c r="F2" s="6"/>
      <c r="G2" s="12"/>
      <c r="H2" s="5"/>
      <c r="I2" s="22" t="s">
        <v>0</v>
      </c>
    </row>
    <row r="3" spans="2:15" ht="4.5" customHeight="1" x14ac:dyDescent="0.3">
      <c r="B3" s="5"/>
      <c r="C3" s="5"/>
      <c r="D3" s="6"/>
      <c r="E3" s="6"/>
      <c r="F3" s="6"/>
      <c r="G3" s="12"/>
      <c r="H3" s="5"/>
    </row>
    <row r="4" spans="2:15" ht="20.100000000000001" customHeight="1" x14ac:dyDescent="0.3">
      <c r="B4" s="37" t="s">
        <v>1400</v>
      </c>
      <c r="C4" s="5"/>
      <c r="D4" s="5"/>
      <c r="E4" s="6"/>
      <c r="F4" s="6"/>
      <c r="G4" s="12"/>
      <c r="H4" s="5"/>
    </row>
    <row r="5" spans="2:15" ht="20.100000000000001" customHeight="1" thickBot="1" x14ac:dyDescent="0.35">
      <c r="B5" s="66" t="s">
        <v>1</v>
      </c>
      <c r="C5" s="66" t="s">
        <v>2</v>
      </c>
      <c r="D5" s="66" t="s">
        <v>41</v>
      </c>
      <c r="E5" s="66" t="s">
        <v>3</v>
      </c>
      <c r="F5" s="66" t="s">
        <v>4</v>
      </c>
      <c r="G5" s="66" t="s">
        <v>10</v>
      </c>
      <c r="H5" s="66" t="s">
        <v>5</v>
      </c>
    </row>
    <row r="6" spans="2:15" ht="20.100000000000001" customHeight="1" thickTop="1" x14ac:dyDescent="0.3">
      <c r="B6" s="161" t="s">
        <v>366</v>
      </c>
      <c r="C6" s="161" t="s">
        <v>1415</v>
      </c>
      <c r="D6" s="161" t="s">
        <v>1182</v>
      </c>
      <c r="E6" s="161" t="s">
        <v>107</v>
      </c>
      <c r="F6" s="70" t="s">
        <v>108</v>
      </c>
      <c r="G6" s="71">
        <v>800000</v>
      </c>
      <c r="H6" s="161"/>
      <c r="I6" s="40"/>
      <c r="O6" s="12"/>
    </row>
    <row r="7" spans="2:15" ht="20.100000000000001" customHeight="1" x14ac:dyDescent="0.3">
      <c r="B7" s="162"/>
      <c r="C7" s="162"/>
      <c r="D7" s="162"/>
      <c r="E7" s="162"/>
      <c r="F7" s="68" t="s">
        <v>1195</v>
      </c>
      <c r="G7" s="67">
        <v>800000</v>
      </c>
      <c r="H7" s="162"/>
      <c r="I7" s="40"/>
      <c r="O7" s="12"/>
    </row>
    <row r="8" spans="2:15" ht="20.100000000000001" customHeight="1" x14ac:dyDescent="0.3">
      <c r="B8" s="162"/>
      <c r="C8" s="162"/>
      <c r="D8" s="162"/>
      <c r="E8" s="162"/>
      <c r="F8" s="68" t="s">
        <v>111</v>
      </c>
      <c r="G8" s="67">
        <v>600000</v>
      </c>
      <c r="H8" s="162"/>
      <c r="I8" s="40"/>
      <c r="O8" s="12"/>
    </row>
    <row r="9" spans="2:15" ht="20.100000000000001" customHeight="1" x14ac:dyDescent="0.3">
      <c r="B9" s="162"/>
      <c r="C9" s="162"/>
      <c r="D9" s="162"/>
      <c r="E9" s="162"/>
      <c r="F9" s="68" t="s">
        <v>112</v>
      </c>
      <c r="G9" s="67">
        <v>600000</v>
      </c>
      <c r="H9" s="162"/>
      <c r="I9" s="40"/>
      <c r="O9" s="12"/>
    </row>
    <row r="10" spans="2:15" ht="20.100000000000001" customHeight="1" x14ac:dyDescent="0.3">
      <c r="B10" s="162"/>
      <c r="C10" s="162"/>
      <c r="D10" s="162"/>
      <c r="E10" s="162"/>
      <c r="F10" s="68" t="s">
        <v>113</v>
      </c>
      <c r="G10" s="67">
        <v>600000</v>
      </c>
      <c r="H10" s="162"/>
      <c r="I10" s="40"/>
      <c r="O10" s="12"/>
    </row>
    <row r="11" spans="2:15" ht="20.100000000000001" customHeight="1" x14ac:dyDescent="0.3">
      <c r="B11" s="162"/>
      <c r="C11" s="162"/>
      <c r="D11" s="162"/>
      <c r="E11" s="162"/>
      <c r="F11" s="68" t="s">
        <v>114</v>
      </c>
      <c r="G11" s="67">
        <v>200000</v>
      </c>
      <c r="H11" s="162"/>
      <c r="I11" s="40"/>
      <c r="O11" s="12"/>
    </row>
    <row r="12" spans="2:15" ht="20.100000000000001" customHeight="1" x14ac:dyDescent="0.3">
      <c r="B12" s="162"/>
      <c r="C12" s="162"/>
      <c r="D12" s="162"/>
      <c r="E12" s="162"/>
      <c r="F12" s="68" t="s">
        <v>115</v>
      </c>
      <c r="G12" s="67">
        <v>200000</v>
      </c>
      <c r="H12" s="162"/>
      <c r="I12" s="40"/>
      <c r="O12" s="12"/>
    </row>
    <row r="13" spans="2:15" ht="20.100000000000001" customHeight="1" x14ac:dyDescent="0.3">
      <c r="B13" s="162"/>
      <c r="C13" s="162"/>
      <c r="D13" s="162"/>
      <c r="E13" s="162"/>
      <c r="F13" s="68" t="s">
        <v>367</v>
      </c>
      <c r="G13" s="67">
        <v>200000</v>
      </c>
      <c r="H13" s="162"/>
      <c r="I13" s="40"/>
      <c r="O13" s="12"/>
    </row>
    <row r="14" spans="2:15" ht="20.100000000000001" customHeight="1" x14ac:dyDescent="0.3">
      <c r="B14" s="162"/>
      <c r="C14" s="162"/>
      <c r="D14" s="162"/>
      <c r="E14" s="162"/>
      <c r="F14" s="68" t="s">
        <v>368</v>
      </c>
      <c r="G14" s="67">
        <v>200000</v>
      </c>
      <c r="H14" s="162"/>
      <c r="I14" s="40"/>
      <c r="O14" s="12"/>
    </row>
    <row r="15" spans="2:15" ht="20.100000000000001" customHeight="1" x14ac:dyDescent="0.3">
      <c r="B15" s="162"/>
      <c r="C15" s="162"/>
      <c r="D15" s="162"/>
      <c r="E15" s="162"/>
      <c r="F15" s="68" t="s">
        <v>452</v>
      </c>
      <c r="G15" s="67">
        <v>500000</v>
      </c>
      <c r="H15" s="162"/>
      <c r="I15" s="40"/>
      <c r="O15" s="12"/>
    </row>
    <row r="16" spans="2:15" ht="20.100000000000001" customHeight="1" x14ac:dyDescent="0.3">
      <c r="B16" s="162"/>
      <c r="C16" s="162"/>
      <c r="D16" s="162"/>
      <c r="E16" s="162"/>
      <c r="F16" s="68" t="s">
        <v>150</v>
      </c>
      <c r="G16" s="67">
        <v>400000</v>
      </c>
      <c r="H16" s="162"/>
      <c r="I16" s="40"/>
      <c r="O16" s="12"/>
    </row>
    <row r="17" spans="2:15" ht="20.100000000000001" customHeight="1" x14ac:dyDescent="0.3">
      <c r="B17" s="162"/>
      <c r="C17" s="162"/>
      <c r="D17" s="162"/>
      <c r="E17" s="162"/>
      <c r="F17" s="68" t="s">
        <v>417</v>
      </c>
      <c r="G17" s="67">
        <v>400000</v>
      </c>
      <c r="H17" s="162"/>
      <c r="I17" s="40"/>
      <c r="O17" s="12"/>
    </row>
    <row r="18" spans="2:15" ht="20.100000000000001" customHeight="1" x14ac:dyDescent="0.3">
      <c r="B18" s="162"/>
      <c r="C18" s="162"/>
      <c r="D18" s="162"/>
      <c r="E18" s="162"/>
      <c r="F18" s="68" t="s">
        <v>116</v>
      </c>
      <c r="G18" s="67">
        <v>200000</v>
      </c>
      <c r="H18" s="162"/>
      <c r="I18" s="40"/>
      <c r="O18" s="12"/>
    </row>
    <row r="19" spans="2:15" ht="20.100000000000001" customHeight="1" x14ac:dyDescent="0.3">
      <c r="B19" s="162"/>
      <c r="C19" s="162"/>
      <c r="D19" s="162"/>
      <c r="E19" s="162"/>
      <c r="F19" s="68" t="s">
        <v>117</v>
      </c>
      <c r="G19" s="67">
        <v>200000</v>
      </c>
      <c r="H19" s="162"/>
      <c r="I19" s="40"/>
      <c r="O19" s="12"/>
    </row>
    <row r="20" spans="2:15" ht="20.100000000000001" customHeight="1" x14ac:dyDescent="0.3">
      <c r="B20" s="162"/>
      <c r="C20" s="162"/>
      <c r="D20" s="162"/>
      <c r="E20" s="162"/>
      <c r="F20" s="68" t="s">
        <v>151</v>
      </c>
      <c r="G20" s="67">
        <v>50000</v>
      </c>
      <c r="H20" s="162"/>
      <c r="I20" s="40"/>
      <c r="O20" s="12"/>
    </row>
    <row r="21" spans="2:15" ht="20.100000000000001" customHeight="1" x14ac:dyDescent="0.3">
      <c r="B21" s="162"/>
      <c r="C21" s="162"/>
      <c r="D21" s="162"/>
      <c r="E21" s="162"/>
      <c r="F21" s="68" t="s">
        <v>155</v>
      </c>
      <c r="G21" s="67">
        <v>250000</v>
      </c>
      <c r="H21" s="162"/>
      <c r="I21" s="40"/>
      <c r="O21" s="12"/>
    </row>
    <row r="22" spans="2:15" ht="20.100000000000001" customHeight="1" x14ac:dyDescent="0.3">
      <c r="B22" s="162"/>
      <c r="C22" s="162"/>
      <c r="D22" s="162"/>
      <c r="E22" s="162"/>
      <c r="F22" s="68" t="s">
        <v>171</v>
      </c>
      <c r="G22" s="67">
        <v>250000</v>
      </c>
      <c r="H22" s="162"/>
      <c r="I22" s="40"/>
      <c r="O22" s="12"/>
    </row>
    <row r="23" spans="2:15" ht="20.100000000000001" customHeight="1" x14ac:dyDescent="0.3">
      <c r="B23" s="162"/>
      <c r="C23" s="162"/>
      <c r="D23" s="162"/>
      <c r="E23" s="162"/>
      <c r="F23" s="68" t="s">
        <v>1086</v>
      </c>
      <c r="G23" s="67">
        <v>150000</v>
      </c>
      <c r="H23" s="162"/>
      <c r="I23" s="40"/>
      <c r="O23" s="12"/>
    </row>
    <row r="24" spans="2:15" ht="20.100000000000001" customHeight="1" x14ac:dyDescent="0.3">
      <c r="B24" s="162"/>
      <c r="C24" s="162"/>
      <c r="D24" s="162"/>
      <c r="E24" s="162"/>
      <c r="F24" s="68" t="s">
        <v>1087</v>
      </c>
      <c r="G24" s="67">
        <v>150000</v>
      </c>
      <c r="H24" s="162"/>
      <c r="I24" s="40"/>
      <c r="O24" s="12"/>
    </row>
    <row r="25" spans="2:15" ht="20.100000000000001" customHeight="1" x14ac:dyDescent="0.3">
      <c r="B25" s="162"/>
      <c r="C25" s="162"/>
      <c r="D25" s="162"/>
      <c r="E25" s="162"/>
      <c r="F25" s="68" t="s">
        <v>1163</v>
      </c>
      <c r="G25" s="67">
        <v>300000</v>
      </c>
      <c r="H25" s="162"/>
      <c r="I25" s="40"/>
      <c r="O25" s="12"/>
    </row>
    <row r="26" spans="2:15" ht="20.100000000000001" customHeight="1" x14ac:dyDescent="0.3">
      <c r="B26" s="162"/>
      <c r="C26" s="162"/>
      <c r="D26" s="162"/>
      <c r="E26" s="162"/>
      <c r="F26" s="68" t="s">
        <v>1162</v>
      </c>
      <c r="G26" s="67">
        <v>200000</v>
      </c>
      <c r="H26" s="162"/>
      <c r="I26" s="40"/>
      <c r="O26" s="12"/>
    </row>
    <row r="27" spans="2:15" ht="20.100000000000001" customHeight="1" x14ac:dyDescent="0.3">
      <c r="B27" s="162"/>
      <c r="C27" s="162"/>
      <c r="D27" s="162"/>
      <c r="E27" s="162"/>
      <c r="F27" s="68" t="s">
        <v>1164</v>
      </c>
      <c r="G27" s="67">
        <v>100000</v>
      </c>
      <c r="H27" s="162"/>
      <c r="I27" s="40"/>
      <c r="O27" s="12"/>
    </row>
    <row r="28" spans="2:15" ht="20.100000000000001" customHeight="1" x14ac:dyDescent="0.3">
      <c r="B28" s="162"/>
      <c r="C28" s="162"/>
      <c r="D28" s="162"/>
      <c r="E28" s="162"/>
      <c r="F28" s="68" t="s">
        <v>1166</v>
      </c>
      <c r="G28" s="67">
        <v>50000</v>
      </c>
      <c r="H28" s="162"/>
      <c r="I28" s="40"/>
      <c r="O28" s="12"/>
    </row>
    <row r="29" spans="2:15" ht="20.100000000000001" customHeight="1" x14ac:dyDescent="0.3">
      <c r="B29" s="162"/>
      <c r="C29" s="162"/>
      <c r="D29" s="162"/>
      <c r="E29" s="162"/>
      <c r="F29" s="68" t="s">
        <v>105</v>
      </c>
      <c r="G29" s="67">
        <v>100000</v>
      </c>
      <c r="H29" s="162"/>
      <c r="I29" s="40"/>
      <c r="O29" s="12"/>
    </row>
    <row r="30" spans="2:15" ht="20.100000000000001" customHeight="1" x14ac:dyDescent="0.3">
      <c r="B30" s="162"/>
      <c r="C30" s="162"/>
      <c r="D30" s="162"/>
      <c r="E30" s="162"/>
      <c r="F30" s="72" t="s">
        <v>104</v>
      </c>
      <c r="G30" s="73">
        <v>100000</v>
      </c>
      <c r="H30" s="162"/>
      <c r="I30" s="40"/>
      <c r="O30" s="12"/>
    </row>
    <row r="31" spans="2:15" ht="20.100000000000001" customHeight="1" x14ac:dyDescent="0.3">
      <c r="B31" s="162"/>
      <c r="C31" s="162"/>
      <c r="D31" s="162"/>
      <c r="E31" s="162"/>
      <c r="F31" s="72" t="s">
        <v>127</v>
      </c>
      <c r="G31" s="73">
        <v>100000</v>
      </c>
      <c r="H31" s="74"/>
      <c r="I31"/>
      <c r="J31"/>
      <c r="O31" s="12"/>
    </row>
    <row r="32" spans="2:15" ht="20.100000000000001" customHeight="1" x14ac:dyDescent="0.3">
      <c r="B32" s="162"/>
      <c r="C32" s="162"/>
      <c r="D32" s="162"/>
      <c r="E32" s="162"/>
      <c r="F32" s="72" t="s">
        <v>103</v>
      </c>
      <c r="G32" s="73">
        <v>100000</v>
      </c>
      <c r="H32" s="74"/>
      <c r="I32"/>
      <c r="J32"/>
      <c r="O32" s="12"/>
    </row>
    <row r="33" spans="2:15" ht="20.100000000000001" customHeight="1" x14ac:dyDescent="0.3">
      <c r="B33" s="162"/>
      <c r="C33" s="162"/>
      <c r="D33" s="162"/>
      <c r="E33" s="162"/>
      <c r="F33" s="72" t="s">
        <v>128</v>
      </c>
      <c r="G33" s="73">
        <v>100000</v>
      </c>
      <c r="H33" s="74"/>
      <c r="I33"/>
      <c r="J33"/>
      <c r="O33" s="12"/>
    </row>
    <row r="34" spans="2:15" ht="20.100000000000001" customHeight="1" x14ac:dyDescent="0.3">
      <c r="B34" s="162"/>
      <c r="C34" s="162"/>
      <c r="D34" s="162"/>
      <c r="E34" s="162"/>
      <c r="F34" s="72" t="s">
        <v>129</v>
      </c>
      <c r="G34" s="73">
        <v>100000</v>
      </c>
      <c r="H34" s="74"/>
      <c r="I34"/>
      <c r="J34"/>
      <c r="O34" s="12"/>
    </row>
    <row r="35" spans="2:15" ht="20.100000000000001" customHeight="1" x14ac:dyDescent="0.3">
      <c r="B35" s="162"/>
      <c r="C35" s="162"/>
      <c r="D35" s="162"/>
      <c r="E35" s="162"/>
      <c r="F35" s="72" t="s">
        <v>101</v>
      </c>
      <c r="G35" s="73">
        <v>100000</v>
      </c>
      <c r="H35" s="74"/>
      <c r="I35"/>
      <c r="J35"/>
      <c r="O35" s="12"/>
    </row>
    <row r="36" spans="2:15" ht="20.100000000000001" customHeight="1" x14ac:dyDescent="0.3">
      <c r="B36" s="162"/>
      <c r="C36" s="162"/>
      <c r="D36" s="162"/>
      <c r="E36" s="162"/>
      <c r="F36" s="72" t="s">
        <v>130</v>
      </c>
      <c r="G36" s="73">
        <v>100000</v>
      </c>
      <c r="H36" s="74"/>
      <c r="I36"/>
      <c r="J36"/>
      <c r="O36" s="12"/>
    </row>
    <row r="37" spans="2:15" ht="20.100000000000001" customHeight="1" x14ac:dyDescent="0.3">
      <c r="B37" s="162"/>
      <c r="C37" s="162"/>
      <c r="D37" s="162"/>
      <c r="E37" s="162"/>
      <c r="F37" s="72" t="s">
        <v>132</v>
      </c>
      <c r="G37" s="73">
        <v>100000</v>
      </c>
      <c r="H37" s="74"/>
      <c r="I37"/>
      <c r="J37"/>
      <c r="O37" s="12"/>
    </row>
    <row r="38" spans="2:15" ht="20.100000000000001" customHeight="1" x14ac:dyDescent="0.3">
      <c r="B38" s="162"/>
      <c r="C38" s="162"/>
      <c r="D38" s="162"/>
      <c r="E38" s="162"/>
      <c r="F38" s="72" t="s">
        <v>133</v>
      </c>
      <c r="G38" s="73">
        <v>1100000</v>
      </c>
      <c r="H38" s="74"/>
      <c r="I38"/>
      <c r="J38"/>
      <c r="O38" s="12"/>
    </row>
    <row r="39" spans="2:15" ht="20.100000000000001" customHeight="1" x14ac:dyDescent="0.3">
      <c r="B39" s="162"/>
      <c r="C39" s="162"/>
      <c r="D39" s="162"/>
      <c r="E39" s="162"/>
      <c r="F39" s="72" t="s">
        <v>134</v>
      </c>
      <c r="G39" s="73">
        <v>100000</v>
      </c>
      <c r="H39" s="74"/>
      <c r="I39"/>
      <c r="J39"/>
      <c r="O39" s="12"/>
    </row>
    <row r="40" spans="2:15" ht="20.100000000000001" customHeight="1" x14ac:dyDescent="0.3">
      <c r="B40" s="162"/>
      <c r="C40" s="162"/>
      <c r="D40" s="162"/>
      <c r="E40" s="162"/>
      <c r="F40" s="72" t="s">
        <v>126</v>
      </c>
      <c r="G40" s="73">
        <v>300000</v>
      </c>
      <c r="H40" s="74"/>
      <c r="I40"/>
      <c r="J40"/>
      <c r="O40" s="12"/>
    </row>
    <row r="41" spans="2:15" ht="20.100000000000001" customHeight="1" x14ac:dyDescent="0.3">
      <c r="B41" s="160"/>
      <c r="C41" s="160"/>
      <c r="D41" s="160"/>
      <c r="E41" s="160"/>
      <c r="F41" s="75" t="s">
        <v>120</v>
      </c>
      <c r="G41" s="76">
        <v>100000</v>
      </c>
      <c r="H41" s="74"/>
      <c r="I41"/>
      <c r="J41"/>
      <c r="O41" s="12"/>
    </row>
    <row r="42" spans="2:15" ht="20.100000000000001" customHeight="1" x14ac:dyDescent="0.3">
      <c r="B42" s="160"/>
      <c r="C42" s="160"/>
      <c r="D42" s="160"/>
      <c r="E42" s="160"/>
      <c r="F42" s="75" t="s">
        <v>122</v>
      </c>
      <c r="G42" s="76">
        <v>1000000</v>
      </c>
      <c r="H42" s="74"/>
      <c r="I42"/>
      <c r="J42"/>
      <c r="O42" s="12"/>
    </row>
    <row r="43" spans="2:15" ht="20.100000000000001" customHeight="1" x14ac:dyDescent="0.3">
      <c r="B43" s="160"/>
      <c r="C43" s="160"/>
      <c r="D43" s="160"/>
      <c r="E43" s="160"/>
      <c r="F43" s="75" t="s">
        <v>135</v>
      </c>
      <c r="G43" s="76">
        <v>100000</v>
      </c>
      <c r="H43" s="74"/>
      <c r="I43"/>
      <c r="J43"/>
    </row>
    <row r="44" spans="2:15" ht="20.100000000000001" customHeight="1" x14ac:dyDescent="0.3">
      <c r="B44" s="160"/>
      <c r="C44" s="160"/>
      <c r="D44" s="160"/>
      <c r="E44" s="160"/>
      <c r="F44" s="75" t="s">
        <v>136</v>
      </c>
      <c r="G44" s="76">
        <v>100000</v>
      </c>
      <c r="H44" s="74"/>
      <c r="I44"/>
      <c r="J44"/>
    </row>
    <row r="45" spans="2:15" ht="20.100000000000001" customHeight="1" x14ac:dyDescent="0.3">
      <c r="B45" s="160"/>
      <c r="C45" s="160"/>
      <c r="D45" s="160"/>
      <c r="E45" s="160"/>
      <c r="F45" s="75" t="s">
        <v>137</v>
      </c>
      <c r="G45" s="76">
        <v>100000</v>
      </c>
      <c r="H45" s="74"/>
      <c r="I45"/>
      <c r="J45"/>
    </row>
    <row r="46" spans="2:15" ht="20.100000000000001" customHeight="1" x14ac:dyDescent="0.3">
      <c r="B46" s="160"/>
      <c r="C46" s="160"/>
      <c r="D46" s="160"/>
      <c r="E46" s="160"/>
      <c r="F46" s="75" t="s">
        <v>138</v>
      </c>
      <c r="G46" s="76">
        <v>100000</v>
      </c>
      <c r="H46" s="74"/>
      <c r="I46"/>
      <c r="J46"/>
    </row>
    <row r="47" spans="2:15" ht="20.100000000000001" customHeight="1" x14ac:dyDescent="0.3">
      <c r="B47" s="162"/>
      <c r="C47" s="162"/>
      <c r="D47" s="162"/>
      <c r="E47" s="162"/>
      <c r="F47" s="68" t="s">
        <v>139</v>
      </c>
      <c r="G47" s="69">
        <v>100000</v>
      </c>
      <c r="H47" s="74"/>
      <c r="I47"/>
      <c r="J47"/>
    </row>
    <row r="48" spans="2:15" ht="20.100000000000001" customHeight="1" x14ac:dyDescent="0.3">
      <c r="B48" s="160"/>
      <c r="C48" s="160"/>
      <c r="D48" s="160"/>
      <c r="E48" s="160"/>
      <c r="F48" s="75" t="s">
        <v>140</v>
      </c>
      <c r="G48" s="76">
        <v>100000</v>
      </c>
      <c r="H48" s="74"/>
      <c r="I48"/>
      <c r="J48"/>
    </row>
    <row r="49" spans="2:10" ht="20.100000000000001" customHeight="1" x14ac:dyDescent="0.3">
      <c r="B49" s="160"/>
      <c r="C49" s="160"/>
      <c r="D49" s="160"/>
      <c r="E49" s="160"/>
      <c r="F49" s="75" t="s">
        <v>1194</v>
      </c>
      <c r="G49" s="76">
        <v>200000</v>
      </c>
      <c r="H49" s="74"/>
      <c r="I49"/>
      <c r="J49"/>
    </row>
    <row r="50" spans="2:10" ht="20.100000000000001" customHeight="1" x14ac:dyDescent="0.3">
      <c r="B50" s="160"/>
      <c r="C50" s="160"/>
      <c r="D50" s="160"/>
      <c r="E50" s="160"/>
      <c r="F50" s="75" t="s">
        <v>1188</v>
      </c>
      <c r="G50" s="76">
        <v>200000</v>
      </c>
      <c r="H50" s="74"/>
      <c r="I50"/>
      <c r="J50"/>
    </row>
    <row r="51" spans="2:10" ht="20.100000000000001" customHeight="1" x14ac:dyDescent="0.3">
      <c r="B51" s="302"/>
      <c r="C51" s="302"/>
      <c r="D51" s="302"/>
      <c r="E51" s="302"/>
      <c r="F51" s="302" t="s">
        <v>1257</v>
      </c>
      <c r="G51" s="297">
        <v>210000</v>
      </c>
      <c r="H51" s="303"/>
      <c r="I51"/>
      <c r="J51"/>
    </row>
    <row r="53" spans="2:10" ht="20.100000000000001" customHeight="1" thickBot="1" x14ac:dyDescent="0.35">
      <c r="B53" s="367" t="s">
        <v>1</v>
      </c>
      <c r="C53" s="367" t="s">
        <v>2</v>
      </c>
      <c r="D53" s="367" t="s">
        <v>41</v>
      </c>
      <c r="E53" s="367" t="s">
        <v>3</v>
      </c>
      <c r="F53" s="367" t="s">
        <v>4</v>
      </c>
      <c r="G53" s="367" t="s">
        <v>10</v>
      </c>
      <c r="H53" s="367" t="s">
        <v>5</v>
      </c>
    </row>
    <row r="54" spans="2:10" ht="20.100000000000001" customHeight="1" thickTop="1" x14ac:dyDescent="0.3">
      <c r="B54" s="151" t="s">
        <v>366</v>
      </c>
      <c r="C54" s="306" t="s">
        <v>1415</v>
      </c>
      <c r="D54" s="151" t="s">
        <v>1428</v>
      </c>
      <c r="E54" s="25" t="s">
        <v>47</v>
      </c>
      <c r="F54" s="25" t="s">
        <v>1331</v>
      </c>
      <c r="G54" s="179">
        <v>100000</v>
      </c>
      <c r="H54" s="368"/>
    </row>
    <row r="55" spans="2:10" ht="20.100000000000001" customHeight="1" x14ac:dyDescent="0.3">
      <c r="B55" s="151" t="s">
        <v>366</v>
      </c>
      <c r="C55" s="306" t="s">
        <v>1415</v>
      </c>
      <c r="D55" s="151" t="s">
        <v>1428</v>
      </c>
      <c r="E55" s="25" t="s">
        <v>47</v>
      </c>
      <c r="F55" s="25" t="s">
        <v>1333</v>
      </c>
      <c r="G55" s="179">
        <v>100000</v>
      </c>
      <c r="H55" s="368"/>
    </row>
    <row r="56" spans="2:10" ht="20.100000000000001" customHeight="1" x14ac:dyDescent="0.3">
      <c r="B56" s="151" t="s">
        <v>366</v>
      </c>
      <c r="C56" s="306" t="s">
        <v>1415</v>
      </c>
      <c r="D56" s="151" t="s">
        <v>1428</v>
      </c>
      <c r="E56" s="25" t="s">
        <v>47</v>
      </c>
      <c r="F56" s="25" t="s">
        <v>1332</v>
      </c>
      <c r="G56" s="179">
        <v>100000</v>
      </c>
      <c r="H56" s="368"/>
    </row>
    <row r="57" spans="2:10" ht="20.100000000000001" customHeight="1" x14ac:dyDescent="0.3">
      <c r="B57" s="151" t="s">
        <v>366</v>
      </c>
      <c r="C57" s="306" t="s">
        <v>1415</v>
      </c>
      <c r="D57" s="151" t="s">
        <v>1428</v>
      </c>
      <c r="E57" s="25" t="s">
        <v>47</v>
      </c>
      <c r="F57" s="25" t="s">
        <v>1329</v>
      </c>
      <c r="G57" s="179">
        <v>100000</v>
      </c>
      <c r="H57" s="368"/>
    </row>
    <row r="58" spans="2:10" ht="20.100000000000001" customHeight="1" x14ac:dyDescent="0.3">
      <c r="B58" s="151" t="s">
        <v>366</v>
      </c>
      <c r="C58" s="307" t="s">
        <v>1415</v>
      </c>
      <c r="D58" s="151" t="s">
        <v>1428</v>
      </c>
      <c r="E58" s="25" t="s">
        <v>47</v>
      </c>
      <c r="F58" s="25" t="s">
        <v>1327</v>
      </c>
      <c r="G58" s="179">
        <v>100000</v>
      </c>
      <c r="H58" s="368"/>
    </row>
  </sheetData>
  <phoneticPr fontId="2" type="noConversion"/>
  <conditionalFormatting sqref="F4:F48">
    <cfRule type="duplicateValues" dxfId="125" priority="12"/>
  </conditionalFormatting>
  <conditionalFormatting sqref="F6:F48">
    <cfRule type="duplicateValues" dxfId="124" priority="11"/>
  </conditionalFormatting>
  <conditionalFormatting sqref="F49:F50">
    <cfRule type="duplicateValues" dxfId="123" priority="7"/>
    <cfRule type="duplicateValues" dxfId="122" priority="8"/>
  </conditionalFormatting>
  <conditionalFormatting sqref="F51">
    <cfRule type="duplicateValues" dxfId="121" priority="5"/>
    <cfRule type="duplicateValues" dxfId="120" priority="6"/>
  </conditionalFormatting>
  <conditionalFormatting sqref="F52 F1:F3 F59:F1048576">
    <cfRule type="duplicateValues" dxfId="119" priority="25"/>
  </conditionalFormatting>
  <conditionalFormatting sqref="F53">
    <cfRule type="duplicateValues" dxfId="118" priority="1"/>
  </conditionalFormatting>
  <conditionalFormatting sqref="F55:F58">
    <cfRule type="duplicateValues" dxfId="117" priority="2"/>
  </conditionalFormatting>
  <conditionalFormatting sqref="M1:M1048576">
    <cfRule type="duplicateValues" dxfId="116" priority="167"/>
  </conditionalFormatting>
  <conditionalFormatting sqref="O1:O1048576">
    <cfRule type="duplicateValues" dxfId="115" priority="21"/>
  </conditionalFormatting>
  <pageMargins left="0.7" right="0.7" top="0.75" bottom="0.75" header="0.3" footer="0.3"/>
  <pageSetup paperSize="9" scale="76" fitToHeight="0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T466"/>
  <sheetViews>
    <sheetView showGridLines="0"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M42" sqref="M42"/>
    </sheetView>
  </sheetViews>
  <sheetFormatPr defaultColWidth="9" defaultRowHeight="18.600000000000001" customHeight="1" x14ac:dyDescent="0.3"/>
  <cols>
    <col min="1" max="1" width="2.875" style="5" customWidth="1"/>
    <col min="2" max="2" width="9" style="6" customWidth="1"/>
    <col min="3" max="3" width="15" style="5" customWidth="1"/>
    <col min="4" max="4" width="41.75" style="5" bestFit="1" customWidth="1"/>
    <col min="5" max="5" width="18.875" style="5" customWidth="1"/>
    <col min="6" max="6" width="20.75" style="5" customWidth="1"/>
    <col min="7" max="7" width="12.875" style="5" bestFit="1" customWidth="1"/>
    <col min="8" max="8" width="22.5" style="5" bestFit="1" customWidth="1"/>
    <col min="9" max="9" width="23.25" style="5" bestFit="1" customWidth="1"/>
    <col min="10" max="10" width="10.25" style="5" bestFit="1" customWidth="1"/>
    <col min="11" max="11" width="25.75" style="5" customWidth="1"/>
    <col min="12" max="12" width="16.375" style="5" customWidth="1"/>
    <col min="13" max="13" width="18" style="78" bestFit="1" customWidth="1"/>
    <col min="14" max="14" width="22" style="78" customWidth="1"/>
    <col min="15" max="15" width="16.75" style="78" bestFit="1" customWidth="1"/>
    <col min="16" max="16" width="12.5" style="78" customWidth="1"/>
    <col min="17" max="17" width="6.625" style="78" bestFit="1" customWidth="1"/>
    <col min="18" max="18" width="7.375" style="78" bestFit="1" customWidth="1"/>
    <col min="19" max="20" width="10.25" style="5" customWidth="1"/>
    <col min="21" max="21" width="9" style="5"/>
    <col min="22" max="22" width="10.5" style="5" bestFit="1" customWidth="1"/>
    <col min="23" max="24" width="9" style="5"/>
    <col min="25" max="25" width="10.5" style="5" bestFit="1" customWidth="1"/>
    <col min="26" max="27" width="9" style="5"/>
    <col min="28" max="28" width="10.5" style="5" bestFit="1" customWidth="1"/>
    <col min="29" max="16384" width="9" style="5"/>
  </cols>
  <sheetData>
    <row r="1" spans="2:20" ht="14.25" customHeight="1" x14ac:dyDescent="0.3"/>
    <row r="2" spans="2:20" ht="33" customHeight="1" x14ac:dyDescent="0.3">
      <c r="B2" s="11" t="s">
        <v>60</v>
      </c>
      <c r="G2" s="36" t="s">
        <v>0</v>
      </c>
    </row>
    <row r="3" spans="2:20" ht="12.75" customHeight="1" x14ac:dyDescent="0.3">
      <c r="B3" s="10"/>
    </row>
    <row r="4" spans="2:20" ht="18.600000000000001" customHeight="1" x14ac:dyDescent="0.3">
      <c r="G4" s="40"/>
      <c r="J4" s="40"/>
      <c r="K4" s="40"/>
    </row>
    <row r="5" spans="2:20" s="32" customFormat="1" ht="18" customHeight="1" x14ac:dyDescent="0.3">
      <c r="B5" s="79" t="s">
        <v>1401</v>
      </c>
      <c r="C5" s="33"/>
      <c r="D5" s="33"/>
      <c r="E5" s="33"/>
      <c r="F5" s="8"/>
      <c r="G5" s="8"/>
      <c r="H5" s="33"/>
      <c r="I5" s="8"/>
      <c r="J5" s="8"/>
      <c r="K5" s="8"/>
      <c r="L5" s="8"/>
      <c r="M5" s="80"/>
      <c r="N5" s="81"/>
      <c r="O5" s="81"/>
      <c r="P5" s="81"/>
      <c r="Q5" s="81"/>
      <c r="R5" s="81"/>
      <c r="S5" s="1"/>
      <c r="T5" s="1"/>
    </row>
    <row r="6" spans="2:20" s="32" customFormat="1" ht="18.600000000000001" customHeight="1" x14ac:dyDescent="0.3">
      <c r="B6" s="403" t="s">
        <v>1</v>
      </c>
      <c r="C6" s="403" t="s">
        <v>2</v>
      </c>
      <c r="D6" s="403" t="s">
        <v>39</v>
      </c>
      <c r="E6" s="412" t="s">
        <v>25</v>
      </c>
      <c r="F6" s="413"/>
      <c r="G6" s="414"/>
      <c r="H6" s="412" t="s">
        <v>26</v>
      </c>
      <c r="I6" s="413"/>
      <c r="J6" s="414"/>
      <c r="K6" s="415" t="s">
        <v>59</v>
      </c>
      <c r="L6" s="403" t="s">
        <v>5</v>
      </c>
      <c r="M6" s="80"/>
      <c r="N6" s="81"/>
      <c r="O6" s="81"/>
      <c r="P6" s="81"/>
      <c r="Q6" s="81"/>
      <c r="R6" s="81"/>
      <c r="S6" s="1"/>
      <c r="T6" s="1"/>
    </row>
    <row r="7" spans="2:20" s="32" customFormat="1" ht="18.600000000000001" customHeight="1" x14ac:dyDescent="0.3">
      <c r="B7" s="404"/>
      <c r="C7" s="404"/>
      <c r="D7" s="404"/>
      <c r="E7" s="24" t="s">
        <v>3</v>
      </c>
      <c r="F7" s="24" t="s">
        <v>4</v>
      </c>
      <c r="G7" s="24" t="s">
        <v>10</v>
      </c>
      <c r="H7" s="24" t="s">
        <v>3</v>
      </c>
      <c r="I7" s="24" t="s">
        <v>4</v>
      </c>
      <c r="J7" s="24" t="s">
        <v>10</v>
      </c>
      <c r="K7" s="416"/>
      <c r="L7" s="404"/>
      <c r="M7" s="80"/>
      <c r="N7" s="81"/>
      <c r="O7" s="81"/>
      <c r="P7" s="81"/>
      <c r="Q7" s="81"/>
      <c r="R7" s="81"/>
      <c r="S7" s="1"/>
      <c r="T7" s="1"/>
    </row>
    <row r="8" spans="2:20" s="32" customFormat="1" ht="18.600000000000001" customHeight="1" x14ac:dyDescent="0.3">
      <c r="B8" s="269" t="s">
        <v>163</v>
      </c>
      <c r="C8" s="161" t="s">
        <v>1415</v>
      </c>
      <c r="D8" s="269" t="s">
        <v>164</v>
      </c>
      <c r="E8" s="269" t="s">
        <v>107</v>
      </c>
      <c r="F8" s="43" t="s">
        <v>131</v>
      </c>
      <c r="G8" s="43">
        <v>200000</v>
      </c>
      <c r="H8" s="82" t="s">
        <v>165</v>
      </c>
      <c r="I8" s="43" t="s">
        <v>1088</v>
      </c>
      <c r="J8" s="43">
        <v>0</v>
      </c>
      <c r="K8" s="163">
        <f>G8+J8</f>
        <v>200000</v>
      </c>
      <c r="L8" s="269"/>
      <c r="M8" s="81"/>
      <c r="N8" s="1"/>
      <c r="O8" s="1"/>
      <c r="P8" s="1"/>
      <c r="Q8" s="1"/>
      <c r="R8" s="1"/>
      <c r="S8" s="1"/>
    </row>
    <row r="9" spans="2:20" s="32" customFormat="1" ht="18.600000000000001" customHeight="1" x14ac:dyDescent="0.3">
      <c r="B9" s="82"/>
      <c r="C9" s="83"/>
      <c r="D9" s="82"/>
      <c r="E9" s="84"/>
      <c r="F9" s="43" t="s">
        <v>131</v>
      </c>
      <c r="G9" s="43">
        <v>200000</v>
      </c>
      <c r="H9" s="84"/>
      <c r="I9" s="43" t="s">
        <v>1089</v>
      </c>
      <c r="J9" s="43">
        <v>0</v>
      </c>
      <c r="K9" s="163">
        <f t="shared" ref="K9:K71" si="0">G9+J9</f>
        <v>200000</v>
      </c>
      <c r="L9" s="82"/>
      <c r="M9" s="81"/>
      <c r="N9" s="1"/>
      <c r="O9" s="1"/>
      <c r="P9" s="1"/>
      <c r="Q9" s="1"/>
      <c r="R9" s="1"/>
      <c r="S9" s="1"/>
    </row>
    <row r="10" spans="2:20" s="32" customFormat="1" ht="18.600000000000001" customHeight="1" x14ac:dyDescent="0.3">
      <c r="B10" s="82"/>
      <c r="C10" s="83"/>
      <c r="D10" s="82"/>
      <c r="E10" s="84"/>
      <c r="F10" s="43" t="s">
        <v>131</v>
      </c>
      <c r="G10" s="43">
        <v>200000</v>
      </c>
      <c r="H10" s="84"/>
      <c r="I10" s="43" t="s">
        <v>1090</v>
      </c>
      <c r="J10" s="43">
        <v>0</v>
      </c>
      <c r="K10" s="163">
        <f t="shared" si="0"/>
        <v>200000</v>
      </c>
      <c r="L10" s="82"/>
      <c r="M10" s="81"/>
      <c r="N10" s="1"/>
      <c r="O10" s="1"/>
      <c r="P10" s="1"/>
      <c r="Q10" s="1"/>
      <c r="R10" s="1"/>
      <c r="S10" s="1"/>
    </row>
    <row r="11" spans="2:20" s="32" customFormat="1" ht="18.600000000000001" customHeight="1" x14ac:dyDescent="0.3">
      <c r="B11" s="82"/>
      <c r="C11" s="83"/>
      <c r="D11" s="82"/>
      <c r="E11" s="84"/>
      <c r="F11" s="43" t="s">
        <v>131</v>
      </c>
      <c r="G11" s="43">
        <v>200000</v>
      </c>
      <c r="H11" s="84"/>
      <c r="I11" s="43" t="s">
        <v>1091</v>
      </c>
      <c r="J11" s="43">
        <v>0</v>
      </c>
      <c r="K11" s="163">
        <f t="shared" si="0"/>
        <v>200000</v>
      </c>
      <c r="L11" s="82"/>
      <c r="M11" s="81"/>
      <c r="N11" s="1"/>
      <c r="O11" s="1"/>
      <c r="P11" s="1"/>
      <c r="Q11" s="1"/>
      <c r="R11" s="1"/>
      <c r="S11" s="1"/>
    </row>
    <row r="12" spans="2:20" s="32" customFormat="1" ht="18.600000000000001" customHeight="1" x14ac:dyDescent="0.3">
      <c r="B12" s="82"/>
      <c r="C12" s="83"/>
      <c r="D12" s="82"/>
      <c r="E12" s="84"/>
      <c r="F12" s="43" t="s">
        <v>131</v>
      </c>
      <c r="G12" s="43">
        <v>200000</v>
      </c>
      <c r="H12" s="84"/>
      <c r="I12" s="85" t="s">
        <v>1092</v>
      </c>
      <c r="J12" s="43">
        <v>100000</v>
      </c>
      <c r="K12" s="163">
        <f t="shared" si="0"/>
        <v>300000</v>
      </c>
      <c r="L12" s="82"/>
      <c r="M12" s="81"/>
      <c r="N12" s="1"/>
      <c r="O12" s="1"/>
      <c r="P12" s="1"/>
      <c r="Q12" s="1"/>
      <c r="R12" s="1"/>
      <c r="S12" s="1"/>
    </row>
    <row r="13" spans="2:20" s="32" customFormat="1" ht="18.600000000000001" customHeight="1" x14ac:dyDescent="0.3">
      <c r="B13" s="82"/>
      <c r="C13" s="83"/>
      <c r="D13" s="82"/>
      <c r="E13" s="84"/>
      <c r="F13" s="43" t="s">
        <v>1093</v>
      </c>
      <c r="G13" s="43">
        <v>150000</v>
      </c>
      <c r="H13" s="84"/>
      <c r="I13" s="43" t="s">
        <v>1094</v>
      </c>
      <c r="J13" s="43">
        <v>0</v>
      </c>
      <c r="K13" s="163">
        <f t="shared" si="0"/>
        <v>150000</v>
      </c>
      <c r="L13" s="82"/>
      <c r="M13" s="81"/>
      <c r="N13" s="1"/>
      <c r="O13" s="1"/>
      <c r="P13" s="1"/>
      <c r="Q13" s="1"/>
      <c r="R13" s="1"/>
      <c r="S13" s="1"/>
    </row>
    <row r="14" spans="2:20" s="32" customFormat="1" ht="18.600000000000001" customHeight="1" x14ac:dyDescent="0.3">
      <c r="B14" s="82"/>
      <c r="C14" s="83"/>
      <c r="D14" s="82"/>
      <c r="E14" s="84"/>
      <c r="F14" s="43" t="s">
        <v>1093</v>
      </c>
      <c r="G14" s="43">
        <v>150000</v>
      </c>
      <c r="H14" s="84"/>
      <c r="I14" s="43" t="s">
        <v>1095</v>
      </c>
      <c r="J14" s="43">
        <v>0</v>
      </c>
      <c r="K14" s="163">
        <f t="shared" si="0"/>
        <v>150000</v>
      </c>
      <c r="L14" s="82"/>
      <c r="M14" s="81"/>
      <c r="N14" s="1"/>
      <c r="O14" s="1"/>
      <c r="P14" s="1"/>
      <c r="Q14" s="1"/>
      <c r="R14" s="1"/>
      <c r="S14" s="1"/>
    </row>
    <row r="15" spans="2:20" s="32" customFormat="1" ht="18.600000000000001" customHeight="1" x14ac:dyDescent="0.3">
      <c r="B15" s="82"/>
      <c r="C15" s="83"/>
      <c r="D15" s="82"/>
      <c r="E15" s="84"/>
      <c r="F15" s="43" t="s">
        <v>1093</v>
      </c>
      <c r="G15" s="43">
        <v>150000</v>
      </c>
      <c r="H15" s="84"/>
      <c r="I15" s="43" t="s">
        <v>1096</v>
      </c>
      <c r="J15" s="43">
        <v>0</v>
      </c>
      <c r="K15" s="163">
        <f t="shared" si="0"/>
        <v>150000</v>
      </c>
      <c r="L15" s="82"/>
      <c r="M15" s="81"/>
      <c r="N15" s="1"/>
      <c r="O15" s="1"/>
      <c r="P15" s="1"/>
      <c r="Q15" s="1"/>
      <c r="R15" s="1"/>
      <c r="S15" s="1"/>
    </row>
    <row r="16" spans="2:20" s="32" customFormat="1" ht="18.600000000000001" customHeight="1" x14ac:dyDescent="0.3">
      <c r="B16" s="82"/>
      <c r="C16" s="83"/>
      <c r="D16" s="82"/>
      <c r="E16" s="84"/>
      <c r="F16" s="43" t="s">
        <v>1093</v>
      </c>
      <c r="G16" s="43">
        <v>150000</v>
      </c>
      <c r="H16" s="84"/>
      <c r="I16" s="85" t="s">
        <v>1097</v>
      </c>
      <c r="J16" s="43">
        <v>50000</v>
      </c>
      <c r="K16" s="163">
        <f t="shared" si="0"/>
        <v>200000</v>
      </c>
      <c r="L16" s="82"/>
      <c r="M16" s="81"/>
      <c r="N16" s="1"/>
      <c r="O16" s="1"/>
      <c r="P16" s="1"/>
      <c r="Q16" s="1"/>
      <c r="R16" s="1"/>
      <c r="S16" s="1"/>
    </row>
    <row r="17" spans="2:19" s="32" customFormat="1" ht="18.600000000000001" customHeight="1" x14ac:dyDescent="0.3">
      <c r="B17" s="82"/>
      <c r="C17" s="83"/>
      <c r="D17" s="82"/>
      <c r="E17" s="84"/>
      <c r="F17" s="43" t="s">
        <v>1098</v>
      </c>
      <c r="G17" s="43">
        <v>150000</v>
      </c>
      <c r="H17" s="84"/>
      <c r="I17" s="43" t="s">
        <v>1099</v>
      </c>
      <c r="J17" s="43">
        <v>0</v>
      </c>
      <c r="K17" s="163">
        <f t="shared" si="0"/>
        <v>150000</v>
      </c>
      <c r="L17" s="82"/>
      <c r="M17" s="81"/>
      <c r="N17" s="1"/>
      <c r="O17" s="1"/>
      <c r="P17" s="1"/>
      <c r="Q17" s="1"/>
      <c r="R17" s="1"/>
      <c r="S17" s="1"/>
    </row>
    <row r="18" spans="2:19" s="32" customFormat="1" ht="18.600000000000001" customHeight="1" x14ac:dyDescent="0.3">
      <c r="B18" s="82"/>
      <c r="C18" s="83"/>
      <c r="D18" s="82"/>
      <c r="E18" s="84"/>
      <c r="F18" s="43" t="s">
        <v>1098</v>
      </c>
      <c r="G18" s="43">
        <v>150000</v>
      </c>
      <c r="H18" s="84"/>
      <c r="I18" s="43" t="s">
        <v>1100</v>
      </c>
      <c r="J18" s="43">
        <v>0</v>
      </c>
      <c r="K18" s="163">
        <f t="shared" si="0"/>
        <v>150000</v>
      </c>
      <c r="L18" s="82"/>
      <c r="M18" s="81"/>
      <c r="N18" s="1"/>
      <c r="O18" s="1"/>
      <c r="P18" s="1"/>
      <c r="Q18" s="1"/>
      <c r="R18" s="1"/>
      <c r="S18" s="1"/>
    </row>
    <row r="19" spans="2:19" s="32" customFormat="1" ht="18.600000000000001" customHeight="1" x14ac:dyDescent="0.3">
      <c r="B19" s="82"/>
      <c r="C19" s="83"/>
      <c r="D19" s="82"/>
      <c r="E19" s="84"/>
      <c r="F19" s="43" t="s">
        <v>1098</v>
      </c>
      <c r="G19" s="43">
        <v>150000</v>
      </c>
      <c r="H19" s="84"/>
      <c r="I19" s="43" t="s">
        <v>1101</v>
      </c>
      <c r="J19" s="43">
        <v>0</v>
      </c>
      <c r="K19" s="163">
        <f t="shared" si="0"/>
        <v>150000</v>
      </c>
      <c r="L19" s="82"/>
      <c r="M19" s="81"/>
      <c r="N19" s="1"/>
      <c r="O19" s="1"/>
      <c r="P19" s="1"/>
      <c r="Q19" s="1"/>
      <c r="R19" s="1"/>
      <c r="S19" s="1"/>
    </row>
    <row r="20" spans="2:19" s="32" customFormat="1" ht="18.600000000000001" customHeight="1" x14ac:dyDescent="0.3">
      <c r="B20" s="82"/>
      <c r="C20" s="83"/>
      <c r="D20" s="82"/>
      <c r="E20" s="84"/>
      <c r="F20" s="43" t="s">
        <v>1098</v>
      </c>
      <c r="G20" s="43">
        <v>150000</v>
      </c>
      <c r="H20" s="84"/>
      <c r="I20" s="43" t="s">
        <v>1102</v>
      </c>
      <c r="J20" s="43">
        <v>0</v>
      </c>
      <c r="K20" s="163">
        <f t="shared" si="0"/>
        <v>150000</v>
      </c>
      <c r="L20" s="82"/>
      <c r="M20" s="81"/>
      <c r="N20" s="1"/>
      <c r="O20" s="1"/>
      <c r="P20" s="1"/>
      <c r="Q20" s="1"/>
      <c r="R20" s="1"/>
      <c r="S20" s="1"/>
    </row>
    <row r="21" spans="2:19" s="32" customFormat="1" ht="18.600000000000001" customHeight="1" x14ac:dyDescent="0.3">
      <c r="B21" s="82"/>
      <c r="C21" s="83"/>
      <c r="D21" s="82"/>
      <c r="E21" s="84"/>
      <c r="F21" s="43" t="s">
        <v>1098</v>
      </c>
      <c r="G21" s="43">
        <v>150000</v>
      </c>
      <c r="H21" s="84"/>
      <c r="I21" s="43" t="s">
        <v>1103</v>
      </c>
      <c r="J21" s="43">
        <v>0</v>
      </c>
      <c r="K21" s="163">
        <f t="shared" si="0"/>
        <v>150000</v>
      </c>
      <c r="L21" s="82"/>
      <c r="M21" s="81"/>
      <c r="N21" s="1"/>
      <c r="O21" s="1"/>
      <c r="P21" s="1"/>
      <c r="Q21" s="1"/>
      <c r="R21" s="1"/>
      <c r="S21" s="1"/>
    </row>
    <row r="22" spans="2:19" s="32" customFormat="1" ht="18.600000000000001" customHeight="1" x14ac:dyDescent="0.3">
      <c r="B22" s="82"/>
      <c r="C22" s="83"/>
      <c r="D22" s="82"/>
      <c r="E22" s="84"/>
      <c r="F22" s="43" t="s">
        <v>1098</v>
      </c>
      <c r="G22" s="43">
        <v>150000</v>
      </c>
      <c r="H22" s="84"/>
      <c r="I22" s="85" t="s">
        <v>1104</v>
      </c>
      <c r="J22" s="43">
        <v>50000</v>
      </c>
      <c r="K22" s="163">
        <f t="shared" si="0"/>
        <v>200000</v>
      </c>
      <c r="L22" s="82"/>
      <c r="M22" s="81"/>
      <c r="N22" s="1"/>
      <c r="O22" s="1"/>
      <c r="P22" s="1"/>
      <c r="Q22" s="1"/>
      <c r="R22" s="1"/>
      <c r="S22" s="1"/>
    </row>
    <row r="23" spans="2:19" s="32" customFormat="1" ht="18.600000000000001" customHeight="1" x14ac:dyDescent="0.3">
      <c r="B23" s="82"/>
      <c r="C23" s="83"/>
      <c r="D23" s="82"/>
      <c r="E23" s="84"/>
      <c r="F23" s="43" t="s">
        <v>371</v>
      </c>
      <c r="G23" s="43">
        <v>150000</v>
      </c>
      <c r="H23" s="84"/>
      <c r="I23" s="43" t="s">
        <v>1105</v>
      </c>
      <c r="J23" s="43">
        <v>0</v>
      </c>
      <c r="K23" s="163">
        <f t="shared" si="0"/>
        <v>150000</v>
      </c>
      <c r="L23" s="82"/>
      <c r="M23" s="80"/>
      <c r="N23" s="1"/>
      <c r="O23" s="1"/>
      <c r="P23" s="1"/>
      <c r="Q23" s="1"/>
      <c r="R23" s="1"/>
      <c r="S23" s="1"/>
    </row>
    <row r="24" spans="2:19" s="32" customFormat="1" ht="18.600000000000001" customHeight="1" x14ac:dyDescent="0.3">
      <c r="B24" s="82"/>
      <c r="C24" s="83"/>
      <c r="D24" s="82"/>
      <c r="E24" s="84"/>
      <c r="F24" s="43" t="s">
        <v>371</v>
      </c>
      <c r="G24" s="43">
        <v>150000</v>
      </c>
      <c r="H24" s="84"/>
      <c r="I24" s="43" t="s">
        <v>1106</v>
      </c>
      <c r="J24" s="43">
        <v>0</v>
      </c>
      <c r="K24" s="163">
        <f t="shared" si="0"/>
        <v>150000</v>
      </c>
      <c r="L24" s="82"/>
      <c r="M24" s="80"/>
      <c r="N24" s="1"/>
      <c r="O24" s="1"/>
      <c r="P24" s="1"/>
      <c r="Q24" s="1"/>
      <c r="R24" s="1"/>
      <c r="S24" s="1"/>
    </row>
    <row r="25" spans="2:19" s="32" customFormat="1" ht="18.600000000000001" customHeight="1" x14ac:dyDescent="0.3">
      <c r="B25" s="82"/>
      <c r="C25" s="83"/>
      <c r="D25" s="82"/>
      <c r="E25" s="84"/>
      <c r="F25" s="43" t="s">
        <v>371</v>
      </c>
      <c r="G25" s="43">
        <v>150000</v>
      </c>
      <c r="H25" s="84"/>
      <c r="I25" s="43" t="s">
        <v>1107</v>
      </c>
      <c r="J25" s="43">
        <v>0</v>
      </c>
      <c r="K25" s="163">
        <f t="shared" si="0"/>
        <v>150000</v>
      </c>
      <c r="L25" s="82"/>
      <c r="M25" s="80"/>
      <c r="N25" s="1"/>
      <c r="O25" s="1"/>
      <c r="P25" s="1"/>
      <c r="Q25" s="1"/>
      <c r="R25" s="1"/>
      <c r="S25" s="1"/>
    </row>
    <row r="26" spans="2:19" s="32" customFormat="1" ht="18.600000000000001" customHeight="1" x14ac:dyDescent="0.3">
      <c r="B26" s="82"/>
      <c r="C26" s="83"/>
      <c r="D26" s="82"/>
      <c r="E26" s="84"/>
      <c r="F26" s="43" t="s">
        <v>371</v>
      </c>
      <c r="G26" s="43">
        <v>150000</v>
      </c>
      <c r="H26" s="84"/>
      <c r="I26" s="43" t="s">
        <v>1108</v>
      </c>
      <c r="J26" s="43">
        <v>0</v>
      </c>
      <c r="K26" s="163">
        <f t="shared" si="0"/>
        <v>150000</v>
      </c>
      <c r="L26" s="82"/>
      <c r="M26" s="80"/>
      <c r="N26" s="1"/>
      <c r="O26" s="1"/>
      <c r="P26" s="1"/>
      <c r="Q26" s="1"/>
      <c r="R26" s="1"/>
      <c r="S26" s="1"/>
    </row>
    <row r="27" spans="2:19" s="32" customFormat="1" ht="18.600000000000001" customHeight="1" x14ac:dyDescent="0.3">
      <c r="B27" s="82"/>
      <c r="C27" s="83"/>
      <c r="D27" s="82"/>
      <c r="E27" s="84"/>
      <c r="F27" s="43" t="s">
        <v>371</v>
      </c>
      <c r="G27" s="43">
        <v>150000</v>
      </c>
      <c r="H27" s="84"/>
      <c r="I27" s="43" t="s">
        <v>1109</v>
      </c>
      <c r="J27" s="43">
        <v>0</v>
      </c>
      <c r="K27" s="163">
        <f t="shared" si="0"/>
        <v>150000</v>
      </c>
      <c r="L27" s="82"/>
      <c r="M27" s="80"/>
      <c r="N27" s="1"/>
      <c r="O27" s="1"/>
      <c r="P27" s="1"/>
      <c r="Q27" s="1"/>
      <c r="R27" s="1"/>
      <c r="S27" s="1"/>
    </row>
    <row r="28" spans="2:19" s="32" customFormat="1" ht="18.600000000000001" customHeight="1" x14ac:dyDescent="0.3">
      <c r="B28" s="82"/>
      <c r="C28" s="83"/>
      <c r="D28" s="82"/>
      <c r="E28" s="84"/>
      <c r="F28" s="43" t="s">
        <v>371</v>
      </c>
      <c r="G28" s="43">
        <v>150000</v>
      </c>
      <c r="H28" s="84"/>
      <c r="I28" s="85" t="s">
        <v>1110</v>
      </c>
      <c r="J28" s="43">
        <v>50000</v>
      </c>
      <c r="K28" s="163">
        <f t="shared" si="0"/>
        <v>200000</v>
      </c>
      <c r="L28" s="82"/>
      <c r="M28" s="80"/>
      <c r="N28" s="1"/>
      <c r="O28" s="1"/>
      <c r="P28" s="1"/>
      <c r="Q28" s="1"/>
      <c r="R28" s="1"/>
      <c r="S28" s="1"/>
    </row>
    <row r="29" spans="2:19" s="32" customFormat="1" ht="18.600000000000001" customHeight="1" x14ac:dyDescent="0.3">
      <c r="B29" s="82"/>
      <c r="C29" s="83"/>
      <c r="D29" s="82"/>
      <c r="E29" s="84"/>
      <c r="F29" s="43" t="s">
        <v>372</v>
      </c>
      <c r="G29" s="43">
        <v>150000</v>
      </c>
      <c r="H29" s="84"/>
      <c r="I29" s="43" t="s">
        <v>1111</v>
      </c>
      <c r="J29" s="43">
        <v>0</v>
      </c>
      <c r="K29" s="163">
        <f t="shared" si="0"/>
        <v>150000</v>
      </c>
      <c r="L29" s="82"/>
      <c r="M29" s="80"/>
      <c r="N29" s="1"/>
      <c r="O29" s="1"/>
      <c r="P29" s="1"/>
      <c r="Q29" s="1"/>
      <c r="R29" s="1"/>
      <c r="S29" s="1"/>
    </row>
    <row r="30" spans="2:19" s="32" customFormat="1" ht="18.600000000000001" customHeight="1" x14ac:dyDescent="0.3">
      <c r="B30" s="82"/>
      <c r="C30" s="83"/>
      <c r="D30" s="82"/>
      <c r="E30" s="84"/>
      <c r="F30" s="43" t="s">
        <v>372</v>
      </c>
      <c r="G30" s="43">
        <v>150000</v>
      </c>
      <c r="H30" s="84"/>
      <c r="I30" s="43" t="s">
        <v>1112</v>
      </c>
      <c r="J30" s="43">
        <v>0</v>
      </c>
      <c r="K30" s="163">
        <f t="shared" si="0"/>
        <v>150000</v>
      </c>
      <c r="L30" s="82"/>
      <c r="M30" s="80"/>
      <c r="N30" s="1"/>
      <c r="O30" s="1"/>
      <c r="P30" s="1"/>
      <c r="Q30" s="1"/>
      <c r="R30" s="1"/>
      <c r="S30" s="1"/>
    </row>
    <row r="31" spans="2:19" s="32" customFormat="1" ht="18.600000000000001" customHeight="1" x14ac:dyDescent="0.3">
      <c r="B31" s="82"/>
      <c r="C31" s="83"/>
      <c r="D31" s="82"/>
      <c r="E31" s="84"/>
      <c r="F31" s="43" t="s">
        <v>372</v>
      </c>
      <c r="G31" s="43">
        <v>150000</v>
      </c>
      <c r="H31" s="84"/>
      <c r="I31" s="43" t="s">
        <v>1113</v>
      </c>
      <c r="J31" s="43">
        <v>0</v>
      </c>
      <c r="K31" s="163">
        <f t="shared" si="0"/>
        <v>150000</v>
      </c>
      <c r="L31" s="82"/>
      <c r="M31" s="80"/>
      <c r="N31" s="1"/>
      <c r="O31" s="1"/>
      <c r="P31" s="1"/>
      <c r="Q31" s="1"/>
      <c r="R31" s="1"/>
      <c r="S31" s="1"/>
    </row>
    <row r="32" spans="2:19" s="32" customFormat="1" ht="18.600000000000001" customHeight="1" x14ac:dyDescent="0.3">
      <c r="B32" s="82"/>
      <c r="C32" s="83"/>
      <c r="D32" s="82"/>
      <c r="E32" s="84"/>
      <c r="F32" s="43" t="s">
        <v>372</v>
      </c>
      <c r="G32" s="43">
        <v>150000</v>
      </c>
      <c r="H32" s="84"/>
      <c r="I32" s="85" t="s">
        <v>1114</v>
      </c>
      <c r="J32" s="43">
        <v>50000</v>
      </c>
      <c r="K32" s="163">
        <f t="shared" si="0"/>
        <v>200000</v>
      </c>
      <c r="L32" s="82"/>
      <c r="M32" s="80"/>
      <c r="N32" s="1"/>
      <c r="O32" s="1"/>
      <c r="P32" s="1"/>
      <c r="Q32" s="1"/>
      <c r="R32" s="1"/>
      <c r="S32" s="1"/>
    </row>
    <row r="33" spans="2:19" s="32" customFormat="1" ht="18.600000000000001" customHeight="1" x14ac:dyDescent="0.3">
      <c r="B33" s="82"/>
      <c r="C33" s="83"/>
      <c r="D33" s="82"/>
      <c r="E33" s="84"/>
      <c r="F33" s="43" t="s">
        <v>373</v>
      </c>
      <c r="G33" s="43">
        <v>150000</v>
      </c>
      <c r="H33" s="84"/>
      <c r="I33" s="43" t="s">
        <v>1115</v>
      </c>
      <c r="J33" s="43">
        <v>0</v>
      </c>
      <c r="K33" s="163">
        <f t="shared" si="0"/>
        <v>150000</v>
      </c>
      <c r="L33" s="82"/>
      <c r="M33" s="80"/>
      <c r="N33" s="1"/>
      <c r="O33" s="1"/>
      <c r="P33" s="1"/>
      <c r="Q33" s="1"/>
      <c r="R33" s="1"/>
      <c r="S33" s="1"/>
    </row>
    <row r="34" spans="2:19" s="32" customFormat="1" ht="18.600000000000001" customHeight="1" x14ac:dyDescent="0.3">
      <c r="B34" s="82"/>
      <c r="C34" s="83"/>
      <c r="D34" s="82"/>
      <c r="E34" s="84"/>
      <c r="F34" s="43" t="s">
        <v>373</v>
      </c>
      <c r="G34" s="43">
        <v>150000</v>
      </c>
      <c r="H34" s="84"/>
      <c r="I34" s="43" t="s">
        <v>1116</v>
      </c>
      <c r="J34" s="43">
        <v>0</v>
      </c>
      <c r="K34" s="163">
        <f t="shared" si="0"/>
        <v>150000</v>
      </c>
      <c r="L34" s="82"/>
      <c r="M34" s="80"/>
      <c r="N34" s="1"/>
      <c r="O34" s="1"/>
      <c r="P34" s="1"/>
      <c r="Q34" s="1"/>
      <c r="R34" s="1"/>
      <c r="S34" s="1"/>
    </row>
    <row r="35" spans="2:19" s="32" customFormat="1" ht="18.600000000000001" customHeight="1" x14ac:dyDescent="0.3">
      <c r="B35" s="82"/>
      <c r="C35" s="83"/>
      <c r="D35" s="82"/>
      <c r="E35" s="84"/>
      <c r="F35" s="43" t="s">
        <v>373</v>
      </c>
      <c r="G35" s="43">
        <v>150000</v>
      </c>
      <c r="H35" s="84"/>
      <c r="I35" s="43" t="s">
        <v>1117</v>
      </c>
      <c r="J35" s="43">
        <v>0</v>
      </c>
      <c r="K35" s="163">
        <f t="shared" si="0"/>
        <v>150000</v>
      </c>
      <c r="L35" s="82"/>
      <c r="M35" s="80"/>
      <c r="N35" s="1"/>
      <c r="O35" s="1"/>
      <c r="P35" s="1"/>
      <c r="Q35" s="1"/>
      <c r="R35" s="1"/>
      <c r="S35" s="1"/>
    </row>
    <row r="36" spans="2:19" s="32" customFormat="1" ht="18.600000000000001" customHeight="1" x14ac:dyDescent="0.3">
      <c r="B36" s="82"/>
      <c r="C36" s="83"/>
      <c r="D36" s="82"/>
      <c r="E36" s="84"/>
      <c r="F36" s="43" t="s">
        <v>373</v>
      </c>
      <c r="G36" s="43">
        <v>150000</v>
      </c>
      <c r="H36" s="84"/>
      <c r="I36" s="85" t="s">
        <v>1118</v>
      </c>
      <c r="J36" s="43">
        <v>50000</v>
      </c>
      <c r="K36" s="163">
        <f t="shared" si="0"/>
        <v>200000</v>
      </c>
      <c r="L36" s="82"/>
      <c r="M36" s="80"/>
      <c r="N36" s="1"/>
      <c r="O36" s="1"/>
      <c r="P36" s="1"/>
      <c r="Q36" s="1"/>
      <c r="R36" s="1"/>
      <c r="S36" s="1"/>
    </row>
    <row r="37" spans="2:19" s="32" customFormat="1" ht="18.600000000000001" customHeight="1" x14ac:dyDescent="0.3">
      <c r="B37" s="82"/>
      <c r="C37" s="83"/>
      <c r="D37" s="82"/>
      <c r="E37" s="84"/>
      <c r="F37" s="43" t="s">
        <v>374</v>
      </c>
      <c r="G37" s="43">
        <v>200000</v>
      </c>
      <c r="H37" s="84"/>
      <c r="I37" s="43" t="s">
        <v>1088</v>
      </c>
      <c r="J37" s="43">
        <v>0</v>
      </c>
      <c r="K37" s="163">
        <f t="shared" si="0"/>
        <v>200000</v>
      </c>
      <c r="L37" s="82"/>
      <c r="M37" s="80"/>
      <c r="N37" s="1"/>
      <c r="O37" s="1"/>
      <c r="P37" s="1"/>
      <c r="Q37" s="1"/>
      <c r="R37" s="1"/>
      <c r="S37" s="1"/>
    </row>
    <row r="38" spans="2:19" s="32" customFormat="1" ht="18.600000000000001" customHeight="1" x14ac:dyDescent="0.3">
      <c r="B38" s="82"/>
      <c r="C38" s="83"/>
      <c r="D38" s="82"/>
      <c r="E38" s="84"/>
      <c r="F38" s="43" t="s">
        <v>374</v>
      </c>
      <c r="G38" s="43">
        <v>200000</v>
      </c>
      <c r="H38" s="84"/>
      <c r="I38" s="43" t="s">
        <v>1089</v>
      </c>
      <c r="J38" s="43">
        <v>0</v>
      </c>
      <c r="K38" s="163">
        <f t="shared" si="0"/>
        <v>200000</v>
      </c>
      <c r="L38" s="82"/>
      <c r="M38" s="80"/>
      <c r="N38" s="1"/>
      <c r="O38" s="1"/>
      <c r="P38" s="1"/>
      <c r="Q38" s="1"/>
      <c r="R38" s="1"/>
      <c r="S38" s="1"/>
    </row>
    <row r="39" spans="2:19" s="32" customFormat="1" ht="18.600000000000001" customHeight="1" x14ac:dyDescent="0.3">
      <c r="B39" s="82"/>
      <c r="C39" s="83"/>
      <c r="D39" s="82"/>
      <c r="E39" s="84"/>
      <c r="F39" s="43" t="s">
        <v>374</v>
      </c>
      <c r="G39" s="43">
        <v>200000</v>
      </c>
      <c r="H39" s="84"/>
      <c r="I39" s="43" t="s">
        <v>1090</v>
      </c>
      <c r="J39" s="43">
        <v>0</v>
      </c>
      <c r="K39" s="163">
        <f t="shared" si="0"/>
        <v>200000</v>
      </c>
      <c r="L39" s="82"/>
      <c r="M39" s="80"/>
      <c r="N39" s="1"/>
      <c r="O39" s="1"/>
      <c r="P39" s="1"/>
      <c r="Q39" s="1"/>
      <c r="R39" s="1"/>
      <c r="S39" s="1"/>
    </row>
    <row r="40" spans="2:19" s="32" customFormat="1" ht="18.600000000000001" customHeight="1" x14ac:dyDescent="0.3">
      <c r="B40" s="82"/>
      <c r="C40" s="83"/>
      <c r="D40" s="82"/>
      <c r="E40" s="84"/>
      <c r="F40" s="43" t="s">
        <v>374</v>
      </c>
      <c r="G40" s="43">
        <v>200000</v>
      </c>
      <c r="H40" s="84"/>
      <c r="I40" s="43" t="s">
        <v>1091</v>
      </c>
      <c r="J40" s="43">
        <v>0</v>
      </c>
      <c r="K40" s="163">
        <f t="shared" si="0"/>
        <v>200000</v>
      </c>
      <c r="L40" s="82"/>
      <c r="M40" s="80"/>
      <c r="N40" s="1"/>
      <c r="O40" s="1"/>
      <c r="P40" s="1"/>
      <c r="Q40" s="1"/>
      <c r="R40" s="1"/>
      <c r="S40" s="1"/>
    </row>
    <row r="41" spans="2:19" s="32" customFormat="1" ht="18.600000000000001" customHeight="1" x14ac:dyDescent="0.3">
      <c r="B41" s="82"/>
      <c r="C41" s="83"/>
      <c r="D41" s="82"/>
      <c r="E41" s="84"/>
      <c r="F41" s="43" t="s">
        <v>374</v>
      </c>
      <c r="G41" s="43">
        <v>200000</v>
      </c>
      <c r="H41" s="84"/>
      <c r="I41" s="85" t="s">
        <v>1092</v>
      </c>
      <c r="J41" s="43">
        <v>100000</v>
      </c>
      <c r="K41" s="163">
        <f t="shared" si="0"/>
        <v>300000</v>
      </c>
      <c r="L41" s="82"/>
      <c r="M41" s="80"/>
      <c r="N41" s="1"/>
      <c r="O41" s="1"/>
      <c r="P41" s="1"/>
      <c r="Q41" s="1"/>
      <c r="R41" s="1"/>
      <c r="S41" s="1"/>
    </row>
    <row r="42" spans="2:19" s="32" customFormat="1" ht="18.600000000000001" customHeight="1" x14ac:dyDescent="0.3">
      <c r="B42" s="82"/>
      <c r="C42" s="83"/>
      <c r="D42" s="82"/>
      <c r="E42" s="84"/>
      <c r="F42" s="43" t="s">
        <v>1119</v>
      </c>
      <c r="G42" s="43">
        <v>150000</v>
      </c>
      <c r="H42" s="84"/>
      <c r="I42" s="43" t="s">
        <v>1094</v>
      </c>
      <c r="J42" s="43">
        <v>0</v>
      </c>
      <c r="K42" s="163">
        <f t="shared" si="0"/>
        <v>150000</v>
      </c>
      <c r="L42" s="82"/>
      <c r="M42" s="80"/>
      <c r="N42" s="1"/>
      <c r="O42" s="1"/>
      <c r="P42" s="1"/>
      <c r="Q42" s="1"/>
      <c r="R42" s="1"/>
      <c r="S42" s="1"/>
    </row>
    <row r="43" spans="2:19" s="32" customFormat="1" ht="18.600000000000001" customHeight="1" x14ac:dyDescent="0.3">
      <c r="B43" s="82"/>
      <c r="C43" s="83"/>
      <c r="D43" s="82"/>
      <c r="E43" s="84"/>
      <c r="F43" s="43" t="s">
        <v>1119</v>
      </c>
      <c r="G43" s="43">
        <v>150000</v>
      </c>
      <c r="H43" s="84"/>
      <c r="I43" s="43" t="s">
        <v>1095</v>
      </c>
      <c r="J43" s="43">
        <v>0</v>
      </c>
      <c r="K43" s="163">
        <f t="shared" si="0"/>
        <v>150000</v>
      </c>
      <c r="L43" s="82"/>
      <c r="M43" s="80"/>
      <c r="N43" s="1"/>
      <c r="O43" s="1"/>
      <c r="P43" s="1"/>
      <c r="Q43" s="1"/>
      <c r="R43" s="1"/>
      <c r="S43" s="1"/>
    </row>
    <row r="44" spans="2:19" s="32" customFormat="1" ht="18.600000000000001" customHeight="1" x14ac:dyDescent="0.3">
      <c r="B44" s="82"/>
      <c r="C44" s="83"/>
      <c r="D44" s="82"/>
      <c r="E44" s="84"/>
      <c r="F44" s="43" t="s">
        <v>1119</v>
      </c>
      <c r="G44" s="43">
        <v>150000</v>
      </c>
      <c r="H44" s="84"/>
      <c r="I44" s="43" t="s">
        <v>1096</v>
      </c>
      <c r="J44" s="43">
        <v>0</v>
      </c>
      <c r="K44" s="163">
        <f t="shared" si="0"/>
        <v>150000</v>
      </c>
      <c r="L44" s="82"/>
      <c r="M44" s="80"/>
      <c r="N44" s="1"/>
      <c r="O44" s="1"/>
      <c r="P44" s="1"/>
      <c r="Q44" s="1"/>
      <c r="R44" s="1"/>
      <c r="S44" s="1"/>
    </row>
    <row r="45" spans="2:19" s="32" customFormat="1" ht="18.600000000000001" customHeight="1" x14ac:dyDescent="0.3">
      <c r="B45" s="82"/>
      <c r="C45" s="83"/>
      <c r="D45" s="82"/>
      <c r="E45" s="84"/>
      <c r="F45" s="43" t="s">
        <v>1119</v>
      </c>
      <c r="G45" s="43">
        <v>150000</v>
      </c>
      <c r="H45" s="84"/>
      <c r="I45" s="85" t="s">
        <v>1097</v>
      </c>
      <c r="J45" s="43">
        <v>50000</v>
      </c>
      <c r="K45" s="163">
        <f t="shared" si="0"/>
        <v>200000</v>
      </c>
      <c r="L45" s="82"/>
      <c r="M45" s="80"/>
      <c r="N45" s="1"/>
      <c r="O45" s="1"/>
      <c r="P45" s="1"/>
      <c r="Q45" s="1"/>
      <c r="R45" s="1"/>
      <c r="S45" s="1"/>
    </row>
    <row r="46" spans="2:19" s="32" customFormat="1" ht="18.600000000000001" customHeight="1" x14ac:dyDescent="0.3">
      <c r="B46" s="82"/>
      <c r="C46" s="83"/>
      <c r="D46" s="82"/>
      <c r="E46" s="84"/>
      <c r="F46" s="43" t="s">
        <v>1120</v>
      </c>
      <c r="G46" s="43">
        <v>150000</v>
      </c>
      <c r="H46" s="84"/>
      <c r="I46" s="43" t="s">
        <v>1099</v>
      </c>
      <c r="J46" s="43">
        <v>0</v>
      </c>
      <c r="K46" s="163">
        <f t="shared" si="0"/>
        <v>150000</v>
      </c>
      <c r="L46" s="82"/>
      <c r="M46" s="80"/>
      <c r="N46" s="1"/>
      <c r="O46" s="1"/>
      <c r="P46" s="1"/>
      <c r="Q46" s="1"/>
      <c r="R46" s="1"/>
      <c r="S46" s="1"/>
    </row>
    <row r="47" spans="2:19" s="32" customFormat="1" ht="18.600000000000001" customHeight="1" x14ac:dyDescent="0.3">
      <c r="B47" s="82"/>
      <c r="C47" s="83"/>
      <c r="D47" s="82"/>
      <c r="E47" s="84"/>
      <c r="F47" s="43" t="s">
        <v>1120</v>
      </c>
      <c r="G47" s="43">
        <v>150000</v>
      </c>
      <c r="H47" s="84"/>
      <c r="I47" s="43" t="s">
        <v>1100</v>
      </c>
      <c r="J47" s="43">
        <v>0</v>
      </c>
      <c r="K47" s="163">
        <f t="shared" si="0"/>
        <v>150000</v>
      </c>
      <c r="L47" s="82"/>
      <c r="M47" s="80"/>
      <c r="N47" s="1"/>
      <c r="O47" s="1"/>
      <c r="P47" s="1"/>
      <c r="Q47" s="1"/>
      <c r="R47" s="1"/>
      <c r="S47" s="1"/>
    </row>
    <row r="48" spans="2:19" s="32" customFormat="1" ht="18.600000000000001" customHeight="1" x14ac:dyDescent="0.3">
      <c r="B48" s="82"/>
      <c r="C48" s="83"/>
      <c r="D48" s="82"/>
      <c r="E48" s="84"/>
      <c r="F48" s="43" t="s">
        <v>1120</v>
      </c>
      <c r="G48" s="43">
        <v>150000</v>
      </c>
      <c r="H48" s="84"/>
      <c r="I48" s="43" t="s">
        <v>1101</v>
      </c>
      <c r="J48" s="43">
        <v>0</v>
      </c>
      <c r="K48" s="163">
        <f t="shared" si="0"/>
        <v>150000</v>
      </c>
      <c r="L48" s="82"/>
      <c r="M48" s="80"/>
      <c r="N48" s="1"/>
      <c r="O48" s="1"/>
      <c r="P48" s="1"/>
      <c r="Q48" s="1"/>
      <c r="R48" s="1"/>
      <c r="S48" s="1"/>
    </row>
    <row r="49" spans="2:19" s="32" customFormat="1" ht="18.600000000000001" customHeight="1" x14ac:dyDescent="0.3">
      <c r="B49" s="82"/>
      <c r="C49" s="83"/>
      <c r="D49" s="82"/>
      <c r="E49" s="84"/>
      <c r="F49" s="43" t="s">
        <v>1120</v>
      </c>
      <c r="G49" s="43">
        <v>150000</v>
      </c>
      <c r="H49" s="84"/>
      <c r="I49" s="43" t="s">
        <v>1102</v>
      </c>
      <c r="J49" s="43">
        <v>0</v>
      </c>
      <c r="K49" s="163">
        <f t="shared" si="0"/>
        <v>150000</v>
      </c>
      <c r="L49" s="82"/>
      <c r="M49" s="80"/>
      <c r="N49" s="1"/>
      <c r="O49" s="1"/>
      <c r="P49" s="1"/>
      <c r="Q49" s="1"/>
      <c r="R49" s="1"/>
      <c r="S49" s="1"/>
    </row>
    <row r="50" spans="2:19" s="32" customFormat="1" ht="18.600000000000001" customHeight="1" x14ac:dyDescent="0.3">
      <c r="B50" s="82"/>
      <c r="C50" s="83"/>
      <c r="D50" s="82"/>
      <c r="E50" s="84"/>
      <c r="F50" s="43" t="s">
        <v>1120</v>
      </c>
      <c r="G50" s="43">
        <v>150000</v>
      </c>
      <c r="H50" s="84"/>
      <c r="I50" s="43" t="s">
        <v>1103</v>
      </c>
      <c r="J50" s="43">
        <v>0</v>
      </c>
      <c r="K50" s="163">
        <f t="shared" si="0"/>
        <v>150000</v>
      </c>
      <c r="L50" s="82"/>
      <c r="M50" s="80"/>
      <c r="N50" s="1"/>
      <c r="O50" s="1"/>
      <c r="P50" s="1"/>
      <c r="Q50" s="1"/>
      <c r="R50" s="1"/>
      <c r="S50" s="1"/>
    </row>
    <row r="51" spans="2:19" s="32" customFormat="1" ht="18.600000000000001" customHeight="1" x14ac:dyDescent="0.3">
      <c r="B51" s="82"/>
      <c r="C51" s="83"/>
      <c r="D51" s="82"/>
      <c r="E51" s="84"/>
      <c r="F51" s="43" t="s">
        <v>1120</v>
      </c>
      <c r="G51" s="43">
        <v>150000</v>
      </c>
      <c r="H51" s="84"/>
      <c r="I51" s="85" t="s">
        <v>1104</v>
      </c>
      <c r="J51" s="43">
        <v>50000</v>
      </c>
      <c r="K51" s="163">
        <f t="shared" si="0"/>
        <v>200000</v>
      </c>
      <c r="L51" s="82"/>
      <c r="M51" s="80"/>
      <c r="N51" s="1"/>
      <c r="O51" s="1"/>
      <c r="P51" s="1"/>
      <c r="Q51" s="1"/>
      <c r="R51" s="1"/>
      <c r="S51" s="1"/>
    </row>
    <row r="52" spans="2:19" s="32" customFormat="1" ht="18.600000000000001" customHeight="1" x14ac:dyDescent="0.3">
      <c r="B52" s="82"/>
      <c r="C52" s="83"/>
      <c r="D52" s="82"/>
      <c r="E52" s="84"/>
      <c r="F52" s="43" t="s">
        <v>375</v>
      </c>
      <c r="G52" s="43">
        <v>150000</v>
      </c>
      <c r="H52" s="84"/>
      <c r="I52" s="43" t="s">
        <v>1105</v>
      </c>
      <c r="J52" s="43">
        <v>0</v>
      </c>
      <c r="K52" s="163">
        <f t="shared" si="0"/>
        <v>150000</v>
      </c>
      <c r="L52" s="82"/>
      <c r="M52" s="80"/>
      <c r="N52" s="1"/>
      <c r="O52" s="1"/>
      <c r="P52" s="1"/>
      <c r="Q52" s="1"/>
      <c r="R52" s="1"/>
      <c r="S52" s="1"/>
    </row>
    <row r="53" spans="2:19" s="32" customFormat="1" ht="18.600000000000001" customHeight="1" x14ac:dyDescent="0.3">
      <c r="B53" s="82"/>
      <c r="C53" s="83"/>
      <c r="D53" s="82"/>
      <c r="E53" s="84"/>
      <c r="F53" s="43" t="s">
        <v>375</v>
      </c>
      <c r="G53" s="43">
        <v>150000</v>
      </c>
      <c r="H53" s="84"/>
      <c r="I53" s="43" t="s">
        <v>1106</v>
      </c>
      <c r="J53" s="43">
        <v>0</v>
      </c>
      <c r="K53" s="163">
        <f t="shared" si="0"/>
        <v>150000</v>
      </c>
      <c r="L53" s="82"/>
      <c r="M53" s="80"/>
      <c r="N53" s="1"/>
      <c r="O53" s="1"/>
      <c r="P53" s="1"/>
      <c r="Q53" s="1"/>
      <c r="R53" s="1"/>
      <c r="S53" s="1"/>
    </row>
    <row r="54" spans="2:19" s="32" customFormat="1" ht="18.600000000000001" customHeight="1" x14ac:dyDescent="0.3">
      <c r="B54" s="82"/>
      <c r="C54" s="83"/>
      <c r="D54" s="82"/>
      <c r="E54" s="84"/>
      <c r="F54" s="43" t="s">
        <v>375</v>
      </c>
      <c r="G54" s="43">
        <v>150000</v>
      </c>
      <c r="H54" s="84"/>
      <c r="I54" s="43" t="s">
        <v>1107</v>
      </c>
      <c r="J54" s="43">
        <v>0</v>
      </c>
      <c r="K54" s="163">
        <f t="shared" si="0"/>
        <v>150000</v>
      </c>
      <c r="L54" s="82"/>
      <c r="M54" s="80"/>
    </row>
    <row r="55" spans="2:19" s="32" customFormat="1" ht="18.600000000000001" customHeight="1" x14ac:dyDescent="0.3">
      <c r="B55" s="82"/>
      <c r="C55" s="83"/>
      <c r="D55" s="82"/>
      <c r="E55" s="84"/>
      <c r="F55" s="43" t="s">
        <v>375</v>
      </c>
      <c r="G55" s="43">
        <v>150000</v>
      </c>
      <c r="H55" s="84"/>
      <c r="I55" s="43" t="s">
        <v>1108</v>
      </c>
      <c r="J55" s="43">
        <v>0</v>
      </c>
      <c r="K55" s="163">
        <f t="shared" si="0"/>
        <v>150000</v>
      </c>
      <c r="L55" s="82"/>
      <c r="M55" s="80"/>
    </row>
    <row r="56" spans="2:19" s="32" customFormat="1" ht="18.600000000000001" customHeight="1" x14ac:dyDescent="0.3">
      <c r="B56" s="82"/>
      <c r="C56" s="83"/>
      <c r="D56" s="82"/>
      <c r="E56" s="84"/>
      <c r="F56" s="43" t="s">
        <v>375</v>
      </c>
      <c r="G56" s="43">
        <v>150000</v>
      </c>
      <c r="H56" s="84"/>
      <c r="I56" s="43" t="s">
        <v>1109</v>
      </c>
      <c r="J56" s="43">
        <v>0</v>
      </c>
      <c r="K56" s="163">
        <f t="shared" si="0"/>
        <v>150000</v>
      </c>
      <c r="L56" s="82"/>
      <c r="M56" s="80"/>
    </row>
    <row r="57" spans="2:19" s="32" customFormat="1" ht="18.600000000000001" customHeight="1" x14ac:dyDescent="0.3">
      <c r="B57" s="82"/>
      <c r="C57" s="83"/>
      <c r="D57" s="82"/>
      <c r="E57" s="84"/>
      <c r="F57" s="43" t="s">
        <v>375</v>
      </c>
      <c r="G57" s="43">
        <v>150000</v>
      </c>
      <c r="H57" s="84"/>
      <c r="I57" s="85" t="s">
        <v>1110</v>
      </c>
      <c r="J57" s="43">
        <v>50000</v>
      </c>
      <c r="K57" s="163">
        <f t="shared" si="0"/>
        <v>200000</v>
      </c>
      <c r="L57" s="82"/>
      <c r="M57" s="80"/>
    </row>
    <row r="58" spans="2:19" s="32" customFormat="1" ht="18.600000000000001" customHeight="1" x14ac:dyDescent="0.3">
      <c r="B58" s="82"/>
      <c r="C58" s="83"/>
      <c r="D58" s="82"/>
      <c r="E58" s="84"/>
      <c r="F58" s="43" t="s">
        <v>376</v>
      </c>
      <c r="G58" s="43">
        <v>150000</v>
      </c>
      <c r="H58" s="84"/>
      <c r="I58" s="43" t="s">
        <v>1111</v>
      </c>
      <c r="J58" s="43">
        <v>0</v>
      </c>
      <c r="K58" s="163">
        <f t="shared" si="0"/>
        <v>150000</v>
      </c>
      <c r="L58" s="82"/>
      <c r="M58" s="80"/>
    </row>
    <row r="59" spans="2:19" s="32" customFormat="1" ht="18.600000000000001" customHeight="1" x14ac:dyDescent="0.3">
      <c r="B59" s="82"/>
      <c r="C59" s="83"/>
      <c r="D59" s="82"/>
      <c r="E59" s="84"/>
      <c r="F59" s="43" t="s">
        <v>376</v>
      </c>
      <c r="G59" s="43">
        <v>150000</v>
      </c>
      <c r="H59" s="84"/>
      <c r="I59" s="43" t="s">
        <v>1112</v>
      </c>
      <c r="J59" s="43">
        <v>0</v>
      </c>
      <c r="K59" s="163">
        <f t="shared" si="0"/>
        <v>150000</v>
      </c>
      <c r="L59" s="82"/>
      <c r="M59" s="80"/>
    </row>
    <row r="60" spans="2:19" s="32" customFormat="1" ht="18.600000000000001" customHeight="1" x14ac:dyDescent="0.3">
      <c r="B60" s="82"/>
      <c r="C60" s="83"/>
      <c r="D60" s="82"/>
      <c r="E60" s="84"/>
      <c r="F60" s="43" t="s">
        <v>376</v>
      </c>
      <c r="G60" s="43">
        <v>150000</v>
      </c>
      <c r="H60" s="84"/>
      <c r="I60" s="43" t="s">
        <v>1113</v>
      </c>
      <c r="J60" s="43">
        <v>0</v>
      </c>
      <c r="K60" s="163">
        <f t="shared" si="0"/>
        <v>150000</v>
      </c>
      <c r="L60" s="82"/>
      <c r="M60" s="80"/>
    </row>
    <row r="61" spans="2:19" s="32" customFormat="1" ht="18.600000000000001" customHeight="1" x14ac:dyDescent="0.3">
      <c r="B61" s="82"/>
      <c r="C61" s="83"/>
      <c r="D61" s="82"/>
      <c r="E61" s="84"/>
      <c r="F61" s="43" t="s">
        <v>376</v>
      </c>
      <c r="G61" s="43">
        <v>150000</v>
      </c>
      <c r="H61" s="84"/>
      <c r="I61" s="85" t="s">
        <v>1114</v>
      </c>
      <c r="J61" s="43">
        <v>50000</v>
      </c>
      <c r="K61" s="163">
        <f t="shared" si="0"/>
        <v>200000</v>
      </c>
      <c r="L61" s="82"/>
      <c r="M61" s="80"/>
    </row>
    <row r="62" spans="2:19" s="32" customFormat="1" ht="18.600000000000001" customHeight="1" x14ac:dyDescent="0.3">
      <c r="B62" s="82"/>
      <c r="C62" s="83"/>
      <c r="D62" s="82"/>
      <c r="E62" s="84"/>
      <c r="F62" s="43" t="s">
        <v>1121</v>
      </c>
      <c r="G62" s="43">
        <v>150000</v>
      </c>
      <c r="H62" s="84"/>
      <c r="I62" s="43" t="s">
        <v>1115</v>
      </c>
      <c r="J62" s="43">
        <v>0</v>
      </c>
      <c r="K62" s="163">
        <f t="shared" si="0"/>
        <v>150000</v>
      </c>
      <c r="L62" s="82"/>
      <c r="M62" s="80"/>
    </row>
    <row r="63" spans="2:19" s="32" customFormat="1" ht="18.600000000000001" customHeight="1" x14ac:dyDescent="0.3">
      <c r="B63" s="82"/>
      <c r="C63" s="83"/>
      <c r="D63" s="82"/>
      <c r="E63" s="84"/>
      <c r="F63" s="43" t="s">
        <v>1121</v>
      </c>
      <c r="G63" s="43">
        <v>150000</v>
      </c>
      <c r="H63" s="84"/>
      <c r="I63" s="43" t="s">
        <v>1116</v>
      </c>
      <c r="J63" s="43">
        <v>0</v>
      </c>
      <c r="K63" s="163">
        <f t="shared" si="0"/>
        <v>150000</v>
      </c>
      <c r="L63" s="82"/>
      <c r="M63" s="80"/>
    </row>
    <row r="64" spans="2:19" s="32" customFormat="1" ht="18.600000000000001" customHeight="1" x14ac:dyDescent="0.3">
      <c r="B64" s="82"/>
      <c r="C64" s="83"/>
      <c r="D64" s="82"/>
      <c r="E64" s="84"/>
      <c r="F64" s="43" t="s">
        <v>1121</v>
      </c>
      <c r="G64" s="43">
        <v>150000</v>
      </c>
      <c r="H64" s="84"/>
      <c r="I64" s="43" t="s">
        <v>1117</v>
      </c>
      <c r="J64" s="43">
        <v>0</v>
      </c>
      <c r="K64" s="163">
        <f t="shared" si="0"/>
        <v>150000</v>
      </c>
      <c r="L64" s="82"/>
      <c r="M64" s="80"/>
    </row>
    <row r="65" spans="2:18" s="32" customFormat="1" ht="18.600000000000001" customHeight="1" x14ac:dyDescent="0.3">
      <c r="B65" s="82"/>
      <c r="C65" s="83"/>
      <c r="D65" s="82"/>
      <c r="E65" s="84"/>
      <c r="F65" s="43" t="s">
        <v>1121</v>
      </c>
      <c r="G65" s="43">
        <v>150000</v>
      </c>
      <c r="H65" s="84"/>
      <c r="I65" s="85" t="s">
        <v>1118</v>
      </c>
      <c r="J65" s="43">
        <v>50000</v>
      </c>
      <c r="K65" s="163">
        <f t="shared" si="0"/>
        <v>200000</v>
      </c>
      <c r="L65" s="82"/>
      <c r="M65" s="80"/>
    </row>
    <row r="66" spans="2:18" s="32" customFormat="1" ht="18.600000000000001" customHeight="1" x14ac:dyDescent="0.3">
      <c r="B66" s="82"/>
      <c r="C66" s="83"/>
      <c r="D66" s="82"/>
      <c r="E66" s="84"/>
      <c r="F66" s="86" t="s">
        <v>1122</v>
      </c>
      <c r="G66" s="43">
        <v>150000</v>
      </c>
      <c r="H66" s="84"/>
      <c r="I66" s="86" t="s">
        <v>1123</v>
      </c>
      <c r="J66" s="43">
        <v>0</v>
      </c>
      <c r="K66" s="163">
        <f t="shared" si="0"/>
        <v>150000</v>
      </c>
      <c r="L66" s="87"/>
      <c r="M66" s="80"/>
    </row>
    <row r="67" spans="2:18" s="32" customFormat="1" ht="18.600000000000001" customHeight="1" x14ac:dyDescent="0.3">
      <c r="B67" s="82"/>
      <c r="C67" s="83"/>
      <c r="D67" s="82"/>
      <c r="E67" s="84"/>
      <c r="F67" s="86" t="s">
        <v>1122</v>
      </c>
      <c r="G67" s="43">
        <v>150000</v>
      </c>
      <c r="H67" s="84"/>
      <c r="I67" s="86" t="s">
        <v>1124</v>
      </c>
      <c r="J67" s="43">
        <v>0</v>
      </c>
      <c r="K67" s="163">
        <f t="shared" si="0"/>
        <v>150000</v>
      </c>
      <c r="L67" s="88"/>
      <c r="M67" s="80"/>
    </row>
    <row r="68" spans="2:18" s="32" customFormat="1" ht="18.600000000000001" customHeight="1" x14ac:dyDescent="0.3">
      <c r="B68" s="82"/>
      <c r="C68" s="83"/>
      <c r="D68" s="82"/>
      <c r="E68" s="84"/>
      <c r="F68" s="86" t="s">
        <v>1122</v>
      </c>
      <c r="G68" s="43">
        <v>150000</v>
      </c>
      <c r="H68" s="84"/>
      <c r="I68" s="86" t="s">
        <v>1125</v>
      </c>
      <c r="J68" s="43">
        <v>0</v>
      </c>
      <c r="K68" s="163">
        <f t="shared" si="0"/>
        <v>150000</v>
      </c>
      <c r="L68" s="88"/>
      <c r="M68" s="80"/>
    </row>
    <row r="69" spans="2:18" s="32" customFormat="1" ht="18.600000000000001" customHeight="1" x14ac:dyDescent="0.3">
      <c r="B69" s="82"/>
      <c r="C69" s="83"/>
      <c r="D69" s="82"/>
      <c r="E69" s="84"/>
      <c r="F69" s="86" t="s">
        <v>1126</v>
      </c>
      <c r="G69" s="43">
        <v>150000</v>
      </c>
      <c r="H69" s="84"/>
      <c r="I69" s="86" t="s">
        <v>1127</v>
      </c>
      <c r="J69" s="43">
        <v>0</v>
      </c>
      <c r="K69" s="163">
        <f t="shared" si="0"/>
        <v>150000</v>
      </c>
      <c r="L69" s="87"/>
      <c r="M69" s="80"/>
    </row>
    <row r="70" spans="2:18" s="32" customFormat="1" ht="18.600000000000001" customHeight="1" x14ac:dyDescent="0.3">
      <c r="B70" s="82"/>
      <c r="C70" s="83"/>
      <c r="D70" s="82"/>
      <c r="E70" s="84"/>
      <c r="F70" s="86" t="s">
        <v>1126</v>
      </c>
      <c r="G70" s="43">
        <v>150000</v>
      </c>
      <c r="H70" s="84"/>
      <c r="I70" s="86" t="s">
        <v>1128</v>
      </c>
      <c r="J70" s="43">
        <v>0</v>
      </c>
      <c r="K70" s="163">
        <f t="shared" si="0"/>
        <v>150000</v>
      </c>
      <c r="L70" s="88"/>
      <c r="M70" s="80"/>
    </row>
    <row r="71" spans="2:18" s="32" customFormat="1" ht="18.600000000000001" customHeight="1" x14ac:dyDescent="0.3">
      <c r="B71" s="270"/>
      <c r="C71" s="90"/>
      <c r="D71" s="270"/>
      <c r="E71" s="91"/>
      <c r="F71" s="86" t="s">
        <v>1126</v>
      </c>
      <c r="G71" s="43">
        <v>150000</v>
      </c>
      <c r="H71" s="91"/>
      <c r="I71" s="86" t="s">
        <v>1129</v>
      </c>
      <c r="J71" s="43">
        <v>0</v>
      </c>
      <c r="K71" s="163">
        <f t="shared" si="0"/>
        <v>150000</v>
      </c>
      <c r="L71" s="92"/>
      <c r="M71" s="89"/>
      <c r="N71" s="80"/>
      <c r="O71" s="80"/>
      <c r="P71" s="80"/>
      <c r="Q71" s="80"/>
      <c r="R71" s="80"/>
    </row>
    <row r="72" spans="2:18" s="1" customFormat="1" ht="16.5" customHeight="1" x14ac:dyDescent="0.3">
      <c r="B72" s="53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81"/>
      <c r="N72" s="81"/>
      <c r="O72" s="81"/>
      <c r="P72" s="81"/>
      <c r="Q72" s="81"/>
      <c r="R72" s="81"/>
    </row>
    <row r="73" spans="2:18" ht="18.600000000000001" customHeight="1" x14ac:dyDescent="0.3">
      <c r="B73" s="93" t="s">
        <v>1402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89"/>
      <c r="N73" s="89"/>
      <c r="O73" s="81"/>
    </row>
    <row r="74" spans="2:18" ht="18.600000000000001" customHeight="1" x14ac:dyDescent="0.3">
      <c r="B74" s="405" t="s">
        <v>70</v>
      </c>
      <c r="C74" s="405" t="s">
        <v>71</v>
      </c>
      <c r="D74" s="405" t="s">
        <v>72</v>
      </c>
      <c r="E74" s="407" t="s">
        <v>73</v>
      </c>
      <c r="F74" s="408"/>
      <c r="G74" s="409"/>
      <c r="H74" s="407" t="s">
        <v>74</v>
      </c>
      <c r="I74" s="408"/>
      <c r="J74" s="409"/>
      <c r="K74" s="410" t="s">
        <v>77</v>
      </c>
      <c r="L74" s="405" t="s">
        <v>75</v>
      </c>
      <c r="M74" s="89"/>
      <c r="N74" s="89"/>
      <c r="O74" s="81"/>
    </row>
    <row r="75" spans="2:18" ht="18" customHeight="1" x14ac:dyDescent="0.3">
      <c r="B75" s="406"/>
      <c r="C75" s="406"/>
      <c r="D75" s="406"/>
      <c r="E75" s="43" t="s">
        <v>23</v>
      </c>
      <c r="F75" s="269" t="s">
        <v>20</v>
      </c>
      <c r="G75" s="269" t="s">
        <v>19</v>
      </c>
      <c r="H75" s="269" t="s">
        <v>23</v>
      </c>
      <c r="I75" s="269" t="s">
        <v>20</v>
      </c>
      <c r="J75" s="269" t="s">
        <v>19</v>
      </c>
      <c r="K75" s="411"/>
      <c r="L75" s="406"/>
      <c r="M75" s="89"/>
      <c r="N75" s="89"/>
      <c r="O75" s="81"/>
    </row>
    <row r="76" spans="2:18" ht="18.600000000000001" customHeight="1" x14ac:dyDescent="0.3">
      <c r="B76" s="101" t="s">
        <v>167</v>
      </c>
      <c r="C76" s="161" t="s">
        <v>1415</v>
      </c>
      <c r="D76" s="281" t="s">
        <v>168</v>
      </c>
      <c r="E76" s="365" t="s">
        <v>107</v>
      </c>
      <c r="F76" s="120" t="s">
        <v>451</v>
      </c>
      <c r="G76" s="24">
        <v>750000</v>
      </c>
      <c r="H76" s="376" t="s">
        <v>166</v>
      </c>
      <c r="I76" s="225" t="s">
        <v>1313</v>
      </c>
      <c r="J76" s="62">
        <v>0</v>
      </c>
      <c r="K76" s="233">
        <f>G76+J76</f>
        <v>750000</v>
      </c>
      <c r="L76" s="359"/>
      <c r="M76" s="80"/>
      <c r="N76" s="81"/>
      <c r="O76" s="81"/>
      <c r="P76" s="81"/>
      <c r="Q76" s="81"/>
    </row>
    <row r="77" spans="2:18" ht="18.600000000000001" customHeight="1" x14ac:dyDescent="0.3">
      <c r="B77" s="188"/>
      <c r="C77" s="83"/>
      <c r="D77" s="105"/>
      <c r="E77" s="65"/>
      <c r="F77" s="120" t="s">
        <v>451</v>
      </c>
      <c r="G77" s="24">
        <v>510000</v>
      </c>
      <c r="H77" s="106"/>
      <c r="I77" s="225" t="s">
        <v>1311</v>
      </c>
      <c r="J77" s="62">
        <v>0</v>
      </c>
      <c r="K77" s="233">
        <f t="shared" ref="K77:K144" si="1">G77+J77</f>
        <v>510000</v>
      </c>
      <c r="L77" s="188"/>
      <c r="M77" s="80"/>
      <c r="N77" s="81"/>
      <c r="O77" s="81"/>
      <c r="P77" s="81"/>
      <c r="Q77" s="81"/>
    </row>
    <row r="78" spans="2:18" ht="18.600000000000001" customHeight="1" x14ac:dyDescent="0.3">
      <c r="B78" s="188"/>
      <c r="C78" s="104"/>
      <c r="D78" s="105"/>
      <c r="E78" s="65"/>
      <c r="F78" s="120" t="s">
        <v>150</v>
      </c>
      <c r="G78" s="24">
        <v>600000</v>
      </c>
      <c r="H78" s="106"/>
      <c r="I78" s="225" t="s">
        <v>141</v>
      </c>
      <c r="J78" s="62">
        <v>0</v>
      </c>
      <c r="K78" s="233">
        <f t="shared" si="1"/>
        <v>600000</v>
      </c>
      <c r="L78" s="188"/>
      <c r="M78" s="80"/>
      <c r="N78" s="81"/>
      <c r="O78" s="81"/>
      <c r="P78" s="81"/>
      <c r="Q78" s="81"/>
    </row>
    <row r="79" spans="2:18" ht="18.600000000000001" customHeight="1" x14ac:dyDescent="0.3">
      <c r="B79" s="188"/>
      <c r="C79" s="104"/>
      <c r="D79" s="105"/>
      <c r="E79" s="65"/>
      <c r="F79" s="120" t="s">
        <v>150</v>
      </c>
      <c r="G79" s="24">
        <v>630000</v>
      </c>
      <c r="H79" s="106"/>
      <c r="I79" s="225" t="s">
        <v>143</v>
      </c>
      <c r="J79" s="62">
        <v>0</v>
      </c>
      <c r="K79" s="233">
        <f t="shared" si="1"/>
        <v>630000</v>
      </c>
      <c r="L79" s="188"/>
      <c r="M79" s="80"/>
      <c r="N79" s="81"/>
      <c r="O79" s="81"/>
      <c r="P79" s="81"/>
      <c r="Q79" s="81"/>
    </row>
    <row r="80" spans="2:18" ht="18.600000000000001" customHeight="1" x14ac:dyDescent="0.3">
      <c r="B80" s="188"/>
      <c r="C80" s="104"/>
      <c r="D80" s="105"/>
      <c r="E80" s="65"/>
      <c r="F80" s="120" t="s">
        <v>150</v>
      </c>
      <c r="G80" s="24">
        <v>460000</v>
      </c>
      <c r="H80" s="106"/>
      <c r="I80" s="225" t="s">
        <v>102</v>
      </c>
      <c r="J80" s="62">
        <v>0</v>
      </c>
      <c r="K80" s="233">
        <f t="shared" si="1"/>
        <v>460000</v>
      </c>
      <c r="L80" s="188"/>
      <c r="M80" s="80"/>
      <c r="N80" s="81"/>
      <c r="O80" s="81"/>
      <c r="P80" s="81"/>
      <c r="Q80" s="81"/>
    </row>
    <row r="81" spans="2:17" ht="18.600000000000001" customHeight="1" x14ac:dyDescent="0.3">
      <c r="B81" s="188"/>
      <c r="C81" s="104"/>
      <c r="D81" s="105"/>
      <c r="E81" s="65"/>
      <c r="F81" s="120" t="s">
        <v>150</v>
      </c>
      <c r="G81" s="24">
        <v>700000</v>
      </c>
      <c r="H81" s="106"/>
      <c r="I81" s="225" t="s">
        <v>157</v>
      </c>
      <c r="J81" s="62">
        <v>0</v>
      </c>
      <c r="K81" s="233">
        <f t="shared" si="1"/>
        <v>700000</v>
      </c>
      <c r="L81" s="188"/>
      <c r="M81" s="80"/>
      <c r="N81" s="81"/>
      <c r="O81" s="81"/>
      <c r="P81" s="81"/>
      <c r="Q81" s="81"/>
    </row>
    <row r="82" spans="2:17" ht="18.600000000000001" customHeight="1" x14ac:dyDescent="0.3">
      <c r="B82" s="188"/>
      <c r="C82" s="104"/>
      <c r="D82" s="105"/>
      <c r="E82" s="65"/>
      <c r="F82" s="120" t="s">
        <v>150</v>
      </c>
      <c r="G82" s="24">
        <v>730000</v>
      </c>
      <c r="H82" s="106"/>
      <c r="I82" s="225" t="s">
        <v>158</v>
      </c>
      <c r="J82" s="62">
        <v>0</v>
      </c>
      <c r="K82" s="233">
        <f t="shared" si="1"/>
        <v>730000</v>
      </c>
      <c r="L82" s="188"/>
      <c r="M82" s="80"/>
      <c r="N82" s="81"/>
      <c r="O82" s="81"/>
      <c r="P82" s="81"/>
      <c r="Q82" s="81"/>
    </row>
    <row r="83" spans="2:17" ht="18.600000000000001" customHeight="1" x14ac:dyDescent="0.3">
      <c r="B83" s="188"/>
      <c r="C83" s="104"/>
      <c r="D83" s="105"/>
      <c r="E83" s="65"/>
      <c r="F83" s="120" t="s">
        <v>150</v>
      </c>
      <c r="G83" s="24">
        <v>560000</v>
      </c>
      <c r="H83" s="106"/>
      <c r="I83" s="225" t="s">
        <v>159</v>
      </c>
      <c r="J83" s="62">
        <v>0</v>
      </c>
      <c r="K83" s="233">
        <f t="shared" si="1"/>
        <v>560000</v>
      </c>
      <c r="L83" s="188"/>
      <c r="M83" s="80"/>
      <c r="N83" s="81"/>
      <c r="O83" s="81"/>
      <c r="P83" s="81"/>
      <c r="Q83" s="81"/>
    </row>
    <row r="84" spans="2:17" ht="18.600000000000001" customHeight="1" x14ac:dyDescent="0.3">
      <c r="B84" s="188"/>
      <c r="C84" s="104"/>
      <c r="D84" s="105"/>
      <c r="E84" s="65"/>
      <c r="F84" s="120" t="s">
        <v>150</v>
      </c>
      <c r="G84" s="24">
        <v>600000</v>
      </c>
      <c r="H84" s="106"/>
      <c r="I84" s="225" t="s">
        <v>381</v>
      </c>
      <c r="J84" s="62">
        <v>0</v>
      </c>
      <c r="K84" s="233">
        <f t="shared" si="1"/>
        <v>600000</v>
      </c>
      <c r="L84" s="188"/>
      <c r="M84" s="80"/>
      <c r="N84" s="81"/>
      <c r="O84" s="81"/>
      <c r="P84" s="81"/>
      <c r="Q84" s="81"/>
    </row>
    <row r="85" spans="2:17" ht="18.600000000000001" customHeight="1" x14ac:dyDescent="0.3">
      <c r="B85" s="188"/>
      <c r="C85" s="104"/>
      <c r="D85" s="105"/>
      <c r="E85" s="65"/>
      <c r="F85" s="120" t="s">
        <v>150</v>
      </c>
      <c r="G85" s="24">
        <v>750000</v>
      </c>
      <c r="H85" s="106"/>
      <c r="I85" s="225" t="s">
        <v>1313</v>
      </c>
      <c r="J85" s="62">
        <v>0</v>
      </c>
      <c r="K85" s="233">
        <f t="shared" si="1"/>
        <v>750000</v>
      </c>
      <c r="L85" s="188"/>
      <c r="M85" s="80"/>
      <c r="N85" s="81"/>
      <c r="O85" s="81"/>
      <c r="P85" s="81"/>
      <c r="Q85" s="81"/>
    </row>
    <row r="86" spans="2:17" ht="18.600000000000001" customHeight="1" x14ac:dyDescent="0.3">
      <c r="B86" s="188"/>
      <c r="C86" s="104"/>
      <c r="D86" s="105"/>
      <c r="E86" s="65"/>
      <c r="F86" s="120" t="s">
        <v>150</v>
      </c>
      <c r="G86" s="24">
        <v>510000</v>
      </c>
      <c r="H86" s="106"/>
      <c r="I86" s="225" t="s">
        <v>1311</v>
      </c>
      <c r="J86" s="62">
        <v>0</v>
      </c>
      <c r="K86" s="233">
        <f t="shared" si="1"/>
        <v>510000</v>
      </c>
      <c r="L86" s="188"/>
      <c r="M86" s="80"/>
      <c r="N86" s="81"/>
      <c r="O86" s="81"/>
      <c r="P86" s="81"/>
      <c r="Q86" s="81"/>
    </row>
    <row r="87" spans="2:17" ht="18.600000000000001" customHeight="1" x14ac:dyDescent="0.3">
      <c r="B87" s="188"/>
      <c r="C87" s="104"/>
      <c r="D87" s="105"/>
      <c r="E87" s="65"/>
      <c r="F87" s="120" t="s">
        <v>1269</v>
      </c>
      <c r="G87" s="24">
        <v>750000</v>
      </c>
      <c r="H87" s="106"/>
      <c r="I87" s="225" t="s">
        <v>1313</v>
      </c>
      <c r="J87" s="62">
        <v>0</v>
      </c>
      <c r="K87" s="233">
        <f t="shared" si="1"/>
        <v>750000</v>
      </c>
      <c r="L87" s="188"/>
      <c r="M87" s="80"/>
      <c r="N87" s="81"/>
      <c r="O87" s="81"/>
      <c r="P87" s="81"/>
      <c r="Q87" s="81"/>
    </row>
    <row r="88" spans="2:17" ht="18.600000000000001" customHeight="1" x14ac:dyDescent="0.3">
      <c r="B88" s="188"/>
      <c r="C88" s="104"/>
      <c r="D88" s="105"/>
      <c r="E88" s="65"/>
      <c r="F88" s="120" t="s">
        <v>1269</v>
      </c>
      <c r="G88" s="24">
        <v>510000</v>
      </c>
      <c r="H88" s="106"/>
      <c r="I88" s="225" t="s">
        <v>1311</v>
      </c>
      <c r="J88" s="62">
        <v>0</v>
      </c>
      <c r="K88" s="233">
        <f t="shared" si="1"/>
        <v>510000</v>
      </c>
      <c r="L88" s="188"/>
      <c r="M88" s="80"/>
      <c r="N88" s="81"/>
      <c r="O88" s="81"/>
      <c r="P88" s="81"/>
      <c r="Q88" s="81"/>
    </row>
    <row r="89" spans="2:17" ht="18.600000000000001" customHeight="1" x14ac:dyDescent="0.3">
      <c r="B89" s="188"/>
      <c r="C89" s="104"/>
      <c r="D89" s="105"/>
      <c r="E89" s="65"/>
      <c r="F89" s="120" t="s">
        <v>122</v>
      </c>
      <c r="G89" s="24">
        <v>600000</v>
      </c>
      <c r="H89" s="106"/>
      <c r="I89" s="225" t="s">
        <v>141</v>
      </c>
      <c r="J89" s="62">
        <v>0</v>
      </c>
      <c r="K89" s="233">
        <f t="shared" si="1"/>
        <v>600000</v>
      </c>
      <c r="L89" s="188"/>
      <c r="M89" s="80"/>
      <c r="N89" s="81"/>
      <c r="O89" s="81"/>
      <c r="P89" s="81"/>
      <c r="Q89" s="81"/>
    </row>
    <row r="90" spans="2:17" ht="18.600000000000001" customHeight="1" x14ac:dyDescent="0.3">
      <c r="B90" s="188"/>
      <c r="C90" s="104"/>
      <c r="D90" s="105"/>
      <c r="E90" s="65"/>
      <c r="F90" s="120" t="s">
        <v>122</v>
      </c>
      <c r="G90" s="24">
        <v>580000</v>
      </c>
      <c r="H90" s="106"/>
      <c r="I90" s="225" t="s">
        <v>143</v>
      </c>
      <c r="J90" s="62">
        <v>0</v>
      </c>
      <c r="K90" s="233">
        <f t="shared" si="1"/>
        <v>580000</v>
      </c>
      <c r="L90" s="188"/>
      <c r="M90" s="80"/>
      <c r="N90" s="81"/>
      <c r="O90" s="81"/>
      <c r="P90" s="81"/>
      <c r="Q90" s="81"/>
    </row>
    <row r="91" spans="2:17" ht="18.600000000000001" customHeight="1" x14ac:dyDescent="0.3">
      <c r="B91" s="188"/>
      <c r="C91" s="104"/>
      <c r="D91" s="105"/>
      <c r="E91" s="65"/>
      <c r="F91" s="120" t="s">
        <v>122</v>
      </c>
      <c r="G91" s="24">
        <v>700000</v>
      </c>
      <c r="H91" s="106"/>
      <c r="I91" s="225" t="s">
        <v>157</v>
      </c>
      <c r="J91" s="62">
        <v>0</v>
      </c>
      <c r="K91" s="233">
        <f t="shared" si="1"/>
        <v>700000</v>
      </c>
      <c r="L91" s="188"/>
      <c r="M91" s="80"/>
      <c r="N91" s="81"/>
      <c r="O91" s="81"/>
      <c r="P91" s="81"/>
      <c r="Q91" s="81"/>
    </row>
    <row r="92" spans="2:17" ht="18.600000000000001" customHeight="1" x14ac:dyDescent="0.3">
      <c r="B92" s="188"/>
      <c r="C92" s="104"/>
      <c r="D92" s="105"/>
      <c r="E92" s="65"/>
      <c r="F92" s="120" t="s">
        <v>122</v>
      </c>
      <c r="G92" s="24">
        <v>680000</v>
      </c>
      <c r="H92" s="106"/>
      <c r="I92" s="225" t="s">
        <v>158</v>
      </c>
      <c r="J92" s="62">
        <v>0</v>
      </c>
      <c r="K92" s="233">
        <f t="shared" si="1"/>
        <v>680000</v>
      </c>
      <c r="L92" s="188"/>
      <c r="M92" s="80"/>
      <c r="N92" s="81"/>
      <c r="O92" s="81"/>
      <c r="P92" s="81"/>
      <c r="Q92" s="81"/>
    </row>
    <row r="93" spans="2:17" ht="18.600000000000001" customHeight="1" x14ac:dyDescent="0.3">
      <c r="B93" s="188"/>
      <c r="C93" s="104"/>
      <c r="D93" s="105"/>
      <c r="E93" s="65"/>
      <c r="F93" s="120" t="s">
        <v>1196</v>
      </c>
      <c r="G93" s="24">
        <v>600000</v>
      </c>
      <c r="H93" s="106"/>
      <c r="I93" s="225" t="s">
        <v>381</v>
      </c>
      <c r="J93" s="62">
        <v>0</v>
      </c>
      <c r="K93" s="233">
        <f t="shared" si="1"/>
        <v>600000</v>
      </c>
      <c r="L93" s="188"/>
      <c r="M93" s="80"/>
      <c r="N93" s="81"/>
      <c r="O93" s="81"/>
      <c r="P93" s="81"/>
      <c r="Q93" s="81"/>
    </row>
    <row r="94" spans="2:17" ht="18.600000000000001" customHeight="1" x14ac:dyDescent="0.3">
      <c r="B94" s="188"/>
      <c r="C94" s="104"/>
      <c r="D94" s="105"/>
      <c r="E94" s="65"/>
      <c r="F94" s="120" t="s">
        <v>1196</v>
      </c>
      <c r="G94" s="24">
        <v>560000</v>
      </c>
      <c r="H94" s="106"/>
      <c r="I94" s="225" t="s">
        <v>159</v>
      </c>
      <c r="J94" s="62">
        <v>0</v>
      </c>
      <c r="K94" s="233">
        <f t="shared" si="1"/>
        <v>560000</v>
      </c>
      <c r="L94" s="188"/>
      <c r="M94" s="80"/>
      <c r="N94" s="81"/>
      <c r="O94" s="81"/>
      <c r="P94" s="81"/>
      <c r="Q94" s="81"/>
    </row>
    <row r="95" spans="2:17" ht="18.600000000000001" customHeight="1" x14ac:dyDescent="0.3">
      <c r="B95" s="188"/>
      <c r="C95" s="104"/>
      <c r="D95" s="105"/>
      <c r="E95" s="65"/>
      <c r="F95" s="120" t="s">
        <v>1196</v>
      </c>
      <c r="G95" s="24">
        <v>550000</v>
      </c>
      <c r="H95" s="106"/>
      <c r="I95" s="225" t="s">
        <v>1313</v>
      </c>
      <c r="J95" s="62">
        <v>0</v>
      </c>
      <c r="K95" s="233">
        <f t="shared" si="1"/>
        <v>550000</v>
      </c>
      <c r="L95" s="188"/>
      <c r="M95" s="80"/>
      <c r="N95" s="81"/>
      <c r="O95" s="81"/>
      <c r="P95" s="81"/>
      <c r="Q95" s="81"/>
    </row>
    <row r="96" spans="2:17" ht="18.600000000000001" customHeight="1" x14ac:dyDescent="0.3">
      <c r="B96" s="188"/>
      <c r="C96" s="104"/>
      <c r="D96" s="105"/>
      <c r="E96" s="65"/>
      <c r="F96" s="120" t="s">
        <v>1196</v>
      </c>
      <c r="G96" s="24">
        <v>510000</v>
      </c>
      <c r="H96" s="106"/>
      <c r="I96" s="225" t="s">
        <v>1311</v>
      </c>
      <c r="J96" s="62">
        <v>0</v>
      </c>
      <c r="K96" s="233">
        <f t="shared" si="1"/>
        <v>510000</v>
      </c>
      <c r="L96" s="188"/>
      <c r="M96" s="80"/>
      <c r="N96" s="81"/>
      <c r="O96" s="81"/>
      <c r="P96" s="81"/>
      <c r="Q96" s="81"/>
    </row>
    <row r="97" spans="2:17" ht="18.600000000000001" customHeight="1" x14ac:dyDescent="0.3">
      <c r="B97" s="188"/>
      <c r="C97" s="104"/>
      <c r="D97" s="105"/>
      <c r="E97" s="65"/>
      <c r="F97" s="120" t="s">
        <v>1196</v>
      </c>
      <c r="G97" s="24">
        <v>220000</v>
      </c>
      <c r="H97" s="106"/>
      <c r="I97" s="225" t="s">
        <v>1364</v>
      </c>
      <c r="J97" s="62">
        <v>0</v>
      </c>
      <c r="K97" s="233">
        <f t="shared" si="1"/>
        <v>220000</v>
      </c>
      <c r="L97" s="188"/>
      <c r="M97" s="80"/>
      <c r="N97" s="81"/>
      <c r="O97" s="81"/>
      <c r="P97" s="81"/>
      <c r="Q97" s="81"/>
    </row>
    <row r="98" spans="2:17" ht="18.600000000000001" customHeight="1" x14ac:dyDescent="0.3">
      <c r="B98" s="188"/>
      <c r="C98" s="104"/>
      <c r="D98" s="105"/>
      <c r="E98" s="107"/>
      <c r="F98" s="223" t="s">
        <v>101</v>
      </c>
      <c r="G98" s="360">
        <v>600000</v>
      </c>
      <c r="H98" s="108"/>
      <c r="I98" s="234" t="s">
        <v>141</v>
      </c>
      <c r="J98" s="62">
        <v>0</v>
      </c>
      <c r="K98" s="235">
        <f t="shared" si="1"/>
        <v>600000</v>
      </c>
      <c r="L98" s="188"/>
      <c r="M98" s="80"/>
      <c r="N98" s="81"/>
      <c r="O98" s="81"/>
      <c r="P98" s="81"/>
      <c r="Q98" s="81"/>
    </row>
    <row r="99" spans="2:17" ht="18.600000000000001" customHeight="1" x14ac:dyDescent="0.3">
      <c r="B99" s="188"/>
      <c r="C99" s="104"/>
      <c r="D99" s="105"/>
      <c r="E99" s="107"/>
      <c r="F99" s="120" t="s">
        <v>101</v>
      </c>
      <c r="G99" s="24">
        <v>630000</v>
      </c>
      <c r="H99" s="108"/>
      <c r="I99" s="225" t="s">
        <v>143</v>
      </c>
      <c r="J99" s="62">
        <v>0</v>
      </c>
      <c r="K99" s="233">
        <f t="shared" si="1"/>
        <v>630000</v>
      </c>
      <c r="L99" s="188"/>
      <c r="M99" s="80"/>
      <c r="N99" s="81"/>
      <c r="O99" s="81"/>
      <c r="P99" s="81"/>
      <c r="Q99" s="81"/>
    </row>
    <row r="100" spans="2:17" ht="18.600000000000001" customHeight="1" x14ac:dyDescent="0.3">
      <c r="B100" s="188"/>
      <c r="C100" s="104"/>
      <c r="D100" s="105"/>
      <c r="E100" s="107"/>
      <c r="F100" s="120" t="s">
        <v>101</v>
      </c>
      <c r="G100" s="24">
        <v>460000</v>
      </c>
      <c r="H100" s="108"/>
      <c r="I100" s="225" t="s">
        <v>102</v>
      </c>
      <c r="J100" s="62">
        <v>0</v>
      </c>
      <c r="K100" s="233">
        <f t="shared" si="1"/>
        <v>460000</v>
      </c>
      <c r="L100" s="188"/>
      <c r="M100" s="80"/>
      <c r="N100" s="81"/>
      <c r="O100" s="81"/>
      <c r="P100" s="81"/>
      <c r="Q100" s="81"/>
    </row>
    <row r="101" spans="2:17" ht="18.600000000000001" customHeight="1" x14ac:dyDescent="0.3">
      <c r="B101" s="188"/>
      <c r="C101" s="104"/>
      <c r="D101" s="105"/>
      <c r="E101" s="107"/>
      <c r="F101" s="120" t="s">
        <v>101</v>
      </c>
      <c r="G101" s="24">
        <v>700000</v>
      </c>
      <c r="H101" s="108"/>
      <c r="I101" s="225" t="s">
        <v>157</v>
      </c>
      <c r="J101" s="62">
        <v>0</v>
      </c>
      <c r="K101" s="233">
        <f t="shared" si="1"/>
        <v>700000</v>
      </c>
      <c r="L101" s="188"/>
      <c r="M101" s="80"/>
      <c r="N101" s="81"/>
      <c r="O101" s="81"/>
      <c r="P101" s="81"/>
      <c r="Q101" s="81"/>
    </row>
    <row r="102" spans="2:17" ht="18.600000000000001" customHeight="1" x14ac:dyDescent="0.3">
      <c r="B102" s="188"/>
      <c r="C102" s="104"/>
      <c r="D102" s="105"/>
      <c r="E102" s="107"/>
      <c r="F102" s="120" t="s">
        <v>101</v>
      </c>
      <c r="G102" s="24">
        <v>730000</v>
      </c>
      <c r="H102" s="108"/>
      <c r="I102" s="225" t="s">
        <v>158</v>
      </c>
      <c r="J102" s="62">
        <v>0</v>
      </c>
      <c r="K102" s="233">
        <f t="shared" si="1"/>
        <v>730000</v>
      </c>
      <c r="L102" s="188"/>
      <c r="M102" s="80"/>
      <c r="N102" s="81"/>
      <c r="O102" s="81"/>
      <c r="P102" s="81"/>
      <c r="Q102" s="81"/>
    </row>
    <row r="103" spans="2:17" ht="18.600000000000001" customHeight="1" x14ac:dyDescent="0.3">
      <c r="B103" s="188"/>
      <c r="C103" s="104"/>
      <c r="D103" s="105"/>
      <c r="E103" s="107"/>
      <c r="F103" s="120" t="s">
        <v>101</v>
      </c>
      <c r="G103" s="24">
        <v>560000</v>
      </c>
      <c r="H103" s="108"/>
      <c r="I103" s="225" t="s">
        <v>159</v>
      </c>
      <c r="J103" s="62">
        <v>0</v>
      </c>
      <c r="K103" s="233">
        <f t="shared" si="1"/>
        <v>560000</v>
      </c>
      <c r="L103" s="188"/>
      <c r="M103" s="80"/>
      <c r="N103" s="81"/>
      <c r="O103" s="81"/>
      <c r="P103" s="81"/>
      <c r="Q103" s="81"/>
    </row>
    <row r="104" spans="2:17" ht="18.600000000000001" customHeight="1" x14ac:dyDescent="0.3">
      <c r="B104" s="188"/>
      <c r="C104" s="104"/>
      <c r="D104" s="105"/>
      <c r="E104" s="107"/>
      <c r="F104" s="120" t="s">
        <v>101</v>
      </c>
      <c r="G104" s="24">
        <v>600000</v>
      </c>
      <c r="H104" s="108"/>
      <c r="I104" s="225" t="s">
        <v>381</v>
      </c>
      <c r="J104" s="62">
        <v>0</v>
      </c>
      <c r="K104" s="233">
        <f t="shared" si="1"/>
        <v>600000</v>
      </c>
      <c r="L104" s="188"/>
      <c r="M104" s="80"/>
      <c r="N104" s="81"/>
      <c r="O104" s="81"/>
      <c r="P104" s="81"/>
      <c r="Q104" s="81"/>
    </row>
    <row r="105" spans="2:17" ht="18.600000000000001" customHeight="1" x14ac:dyDescent="0.3">
      <c r="B105" s="188"/>
      <c r="C105" s="104"/>
      <c r="D105" s="105"/>
      <c r="E105" s="107"/>
      <c r="F105" s="120" t="s">
        <v>144</v>
      </c>
      <c r="G105" s="24">
        <v>80000</v>
      </c>
      <c r="H105" s="108"/>
      <c r="I105" s="225" t="s">
        <v>143</v>
      </c>
      <c r="J105" s="62">
        <v>0</v>
      </c>
      <c r="K105" s="233">
        <f t="shared" si="1"/>
        <v>80000</v>
      </c>
      <c r="L105" s="188"/>
      <c r="M105" s="80"/>
      <c r="N105" s="81"/>
      <c r="O105" s="81"/>
      <c r="P105" s="81"/>
      <c r="Q105" s="81"/>
    </row>
    <row r="106" spans="2:17" ht="18.600000000000001" customHeight="1" x14ac:dyDescent="0.3">
      <c r="B106" s="188"/>
      <c r="C106" s="104"/>
      <c r="D106" s="105"/>
      <c r="E106" s="107"/>
      <c r="F106" s="120" t="s">
        <v>144</v>
      </c>
      <c r="G106" s="24">
        <v>60000</v>
      </c>
      <c r="H106" s="108"/>
      <c r="I106" s="225" t="s">
        <v>102</v>
      </c>
      <c r="J106" s="62">
        <v>0</v>
      </c>
      <c r="K106" s="233">
        <f t="shared" si="1"/>
        <v>60000</v>
      </c>
      <c r="L106" s="188"/>
      <c r="M106" s="80"/>
      <c r="N106" s="81"/>
      <c r="O106" s="81"/>
      <c r="P106" s="81"/>
      <c r="Q106" s="81"/>
    </row>
    <row r="107" spans="2:17" ht="18.600000000000001" customHeight="1" x14ac:dyDescent="0.3">
      <c r="B107" s="188"/>
      <c r="C107" s="104"/>
      <c r="D107" s="105"/>
      <c r="E107" s="107"/>
      <c r="F107" s="120" t="s">
        <v>144</v>
      </c>
      <c r="G107" s="24">
        <v>350000</v>
      </c>
      <c r="H107" s="108"/>
      <c r="I107" s="225" t="s">
        <v>1130</v>
      </c>
      <c r="J107" s="62">
        <v>0</v>
      </c>
      <c r="K107" s="233">
        <f t="shared" si="1"/>
        <v>350000</v>
      </c>
      <c r="L107" s="188"/>
      <c r="M107" s="80"/>
      <c r="N107" s="81"/>
      <c r="O107" s="81"/>
      <c r="P107" s="81"/>
      <c r="Q107" s="81"/>
    </row>
    <row r="108" spans="2:17" ht="18.600000000000001" customHeight="1" x14ac:dyDescent="0.3">
      <c r="B108" s="188"/>
      <c r="C108" s="104"/>
      <c r="D108" s="105"/>
      <c r="E108" s="107"/>
      <c r="F108" s="120" t="s">
        <v>144</v>
      </c>
      <c r="G108" s="24">
        <v>180000</v>
      </c>
      <c r="H108" s="108"/>
      <c r="I108" s="225" t="s">
        <v>158</v>
      </c>
      <c r="J108" s="62">
        <v>0</v>
      </c>
      <c r="K108" s="233">
        <f t="shared" si="1"/>
        <v>180000</v>
      </c>
      <c r="L108" s="188"/>
      <c r="M108" s="80"/>
      <c r="N108" s="81"/>
      <c r="O108" s="81"/>
      <c r="P108" s="81"/>
      <c r="Q108" s="81"/>
    </row>
    <row r="109" spans="2:17" ht="18.600000000000001" customHeight="1" x14ac:dyDescent="0.3">
      <c r="B109" s="188"/>
      <c r="C109" s="104"/>
      <c r="D109" s="105"/>
      <c r="E109" s="107"/>
      <c r="F109" s="120" t="s">
        <v>144</v>
      </c>
      <c r="G109" s="24">
        <v>160000</v>
      </c>
      <c r="H109" s="108"/>
      <c r="I109" s="225" t="s">
        <v>159</v>
      </c>
      <c r="J109" s="62">
        <v>0</v>
      </c>
      <c r="K109" s="233">
        <f t="shared" si="1"/>
        <v>160000</v>
      </c>
      <c r="L109" s="188"/>
      <c r="M109" s="80"/>
      <c r="N109" s="81"/>
      <c r="O109" s="81"/>
      <c r="P109" s="81"/>
      <c r="Q109" s="81"/>
    </row>
    <row r="110" spans="2:17" ht="18.600000000000001" customHeight="1" x14ac:dyDescent="0.3">
      <c r="B110" s="188"/>
      <c r="C110" s="104"/>
      <c r="D110" s="105"/>
      <c r="E110" s="107"/>
      <c r="F110" s="120" t="s">
        <v>144</v>
      </c>
      <c r="G110" s="24">
        <v>450000</v>
      </c>
      <c r="H110" s="108"/>
      <c r="I110" s="225" t="s">
        <v>1136</v>
      </c>
      <c r="J110" s="62">
        <v>0</v>
      </c>
      <c r="K110" s="233">
        <f t="shared" si="1"/>
        <v>450000</v>
      </c>
      <c r="L110" s="188"/>
      <c r="M110" s="80"/>
      <c r="N110" s="81"/>
      <c r="O110" s="81"/>
      <c r="P110" s="81"/>
      <c r="Q110" s="81"/>
    </row>
    <row r="111" spans="2:17" ht="18.600000000000001" customHeight="1" x14ac:dyDescent="0.3">
      <c r="B111" s="188"/>
      <c r="C111" s="104"/>
      <c r="D111" s="105"/>
      <c r="E111" s="107"/>
      <c r="F111" s="120" t="s">
        <v>108</v>
      </c>
      <c r="G111" s="24">
        <v>630000</v>
      </c>
      <c r="H111" s="108"/>
      <c r="I111" s="225" t="s">
        <v>143</v>
      </c>
      <c r="J111" s="62">
        <v>0</v>
      </c>
      <c r="K111" s="233">
        <f t="shared" si="1"/>
        <v>630000</v>
      </c>
      <c r="L111" s="188"/>
      <c r="M111" s="80"/>
      <c r="N111" s="81"/>
      <c r="O111" s="81"/>
      <c r="P111" s="81"/>
      <c r="Q111" s="81"/>
    </row>
    <row r="112" spans="2:17" ht="18.600000000000001" customHeight="1" x14ac:dyDescent="0.3">
      <c r="B112" s="188"/>
      <c r="C112" s="104"/>
      <c r="D112" s="105"/>
      <c r="E112" s="107"/>
      <c r="F112" s="120" t="s">
        <v>108</v>
      </c>
      <c r="G112" s="24">
        <v>460000</v>
      </c>
      <c r="H112" s="108"/>
      <c r="I112" s="225" t="s">
        <v>102</v>
      </c>
      <c r="J112" s="62">
        <v>0</v>
      </c>
      <c r="K112" s="233">
        <f t="shared" si="1"/>
        <v>460000</v>
      </c>
      <c r="L112" s="188"/>
      <c r="M112" s="80"/>
      <c r="N112" s="81"/>
      <c r="O112" s="81"/>
      <c r="P112" s="81"/>
      <c r="Q112" s="81"/>
    </row>
    <row r="113" spans="2:17" ht="18.600000000000001" customHeight="1" x14ac:dyDescent="0.3">
      <c r="B113" s="188"/>
      <c r="C113" s="104"/>
      <c r="D113" s="105"/>
      <c r="E113" s="107"/>
      <c r="F113" s="120" t="s">
        <v>108</v>
      </c>
      <c r="G113" s="24">
        <v>730000</v>
      </c>
      <c r="H113" s="108"/>
      <c r="I113" s="225" t="s">
        <v>158</v>
      </c>
      <c r="J113" s="62">
        <v>0</v>
      </c>
      <c r="K113" s="233">
        <f t="shared" si="1"/>
        <v>730000</v>
      </c>
      <c r="L113" s="188"/>
      <c r="M113" s="80"/>
      <c r="N113" s="81"/>
      <c r="O113" s="81"/>
      <c r="P113" s="81"/>
      <c r="Q113" s="81"/>
    </row>
    <row r="114" spans="2:17" ht="18.600000000000001" customHeight="1" x14ac:dyDescent="0.3">
      <c r="B114" s="188"/>
      <c r="C114" s="104"/>
      <c r="D114" s="105"/>
      <c r="E114" s="107"/>
      <c r="F114" s="120" t="s">
        <v>108</v>
      </c>
      <c r="G114" s="24">
        <v>560000</v>
      </c>
      <c r="H114" s="108"/>
      <c r="I114" s="225" t="s">
        <v>159</v>
      </c>
      <c r="J114" s="62">
        <v>0</v>
      </c>
      <c r="K114" s="233">
        <f t="shared" si="1"/>
        <v>560000</v>
      </c>
      <c r="L114" s="188"/>
      <c r="M114" s="80"/>
      <c r="N114" s="81"/>
      <c r="O114" s="81"/>
      <c r="P114" s="81"/>
      <c r="Q114" s="81"/>
    </row>
    <row r="115" spans="2:17" ht="18.600000000000001" customHeight="1" x14ac:dyDescent="0.3">
      <c r="B115" s="188"/>
      <c r="C115" s="104"/>
      <c r="D115" s="105"/>
      <c r="E115" s="107"/>
      <c r="F115" s="120" t="s">
        <v>108</v>
      </c>
      <c r="G115" s="24">
        <v>630000</v>
      </c>
      <c r="H115" s="108"/>
      <c r="I115" s="225" t="s">
        <v>381</v>
      </c>
      <c r="J115" s="62">
        <v>0</v>
      </c>
      <c r="K115" s="233">
        <f t="shared" si="1"/>
        <v>630000</v>
      </c>
      <c r="L115" s="188"/>
      <c r="M115" s="80"/>
      <c r="N115" s="81"/>
      <c r="O115" s="81"/>
      <c r="P115" s="81"/>
      <c r="Q115" s="81"/>
    </row>
    <row r="116" spans="2:17" ht="18.600000000000001" customHeight="1" x14ac:dyDescent="0.3">
      <c r="B116" s="188"/>
      <c r="C116" s="104"/>
      <c r="D116" s="105"/>
      <c r="E116" s="107"/>
      <c r="F116" s="120" t="s">
        <v>109</v>
      </c>
      <c r="G116" s="24">
        <v>630000</v>
      </c>
      <c r="H116" s="108"/>
      <c r="I116" s="225" t="s">
        <v>143</v>
      </c>
      <c r="J116" s="62">
        <v>0</v>
      </c>
      <c r="K116" s="233">
        <f t="shared" si="1"/>
        <v>630000</v>
      </c>
      <c r="L116" s="188"/>
      <c r="M116" s="80"/>
      <c r="N116" s="81"/>
      <c r="O116" s="81"/>
      <c r="P116" s="81"/>
      <c r="Q116" s="81"/>
    </row>
    <row r="117" spans="2:17" ht="18.600000000000001" customHeight="1" x14ac:dyDescent="0.3">
      <c r="B117" s="188"/>
      <c r="C117" s="104"/>
      <c r="D117" s="105"/>
      <c r="E117" s="107"/>
      <c r="F117" s="120" t="s">
        <v>109</v>
      </c>
      <c r="G117" s="24">
        <v>460000</v>
      </c>
      <c r="H117" s="108"/>
      <c r="I117" s="225" t="s">
        <v>102</v>
      </c>
      <c r="J117" s="62">
        <v>0</v>
      </c>
      <c r="K117" s="233">
        <f t="shared" si="1"/>
        <v>460000</v>
      </c>
      <c r="L117" s="188"/>
      <c r="M117" s="80"/>
      <c r="N117" s="81"/>
      <c r="O117" s="81"/>
      <c r="P117" s="81"/>
      <c r="Q117" s="81"/>
    </row>
    <row r="118" spans="2:17" ht="18.600000000000001" customHeight="1" x14ac:dyDescent="0.3">
      <c r="B118" s="188"/>
      <c r="C118" s="104"/>
      <c r="D118" s="105"/>
      <c r="E118" s="107"/>
      <c r="F118" s="120" t="s">
        <v>109</v>
      </c>
      <c r="G118" s="24">
        <v>730000</v>
      </c>
      <c r="H118" s="108"/>
      <c r="I118" s="225" t="s">
        <v>158</v>
      </c>
      <c r="J118" s="62">
        <v>0</v>
      </c>
      <c r="K118" s="233">
        <f t="shared" si="1"/>
        <v>730000</v>
      </c>
      <c r="L118" s="188"/>
      <c r="M118" s="80"/>
      <c r="N118" s="81"/>
      <c r="O118" s="81"/>
      <c r="P118" s="81"/>
      <c r="Q118" s="81"/>
    </row>
    <row r="119" spans="2:17" ht="18.600000000000001" customHeight="1" x14ac:dyDescent="0.3">
      <c r="B119" s="188"/>
      <c r="C119" s="104"/>
      <c r="D119" s="105"/>
      <c r="E119" s="107"/>
      <c r="F119" s="120" t="s">
        <v>109</v>
      </c>
      <c r="G119" s="24">
        <v>560000</v>
      </c>
      <c r="H119" s="108"/>
      <c r="I119" s="225" t="s">
        <v>159</v>
      </c>
      <c r="J119" s="62">
        <v>0</v>
      </c>
      <c r="K119" s="233">
        <f t="shared" si="1"/>
        <v>560000</v>
      </c>
      <c r="L119" s="188"/>
      <c r="M119" s="80"/>
      <c r="N119" s="81"/>
      <c r="O119" s="81"/>
      <c r="P119" s="81"/>
      <c r="Q119" s="81"/>
    </row>
    <row r="120" spans="2:17" ht="18.600000000000001" customHeight="1" x14ac:dyDescent="0.3">
      <c r="B120" s="188"/>
      <c r="C120" s="104"/>
      <c r="D120" s="105"/>
      <c r="E120" s="107"/>
      <c r="F120" s="120" t="s">
        <v>109</v>
      </c>
      <c r="G120" s="24">
        <v>630000</v>
      </c>
      <c r="H120" s="108"/>
      <c r="I120" s="225" t="s">
        <v>381</v>
      </c>
      <c r="J120" s="62">
        <v>0</v>
      </c>
      <c r="K120" s="233">
        <f t="shared" si="1"/>
        <v>630000</v>
      </c>
      <c r="L120" s="188"/>
      <c r="M120" s="80"/>
      <c r="N120" s="81"/>
      <c r="O120" s="81"/>
      <c r="P120" s="81"/>
      <c r="Q120" s="81"/>
    </row>
    <row r="121" spans="2:17" ht="18.600000000000001" customHeight="1" x14ac:dyDescent="0.3">
      <c r="B121" s="188"/>
      <c r="C121" s="104"/>
      <c r="D121" s="105"/>
      <c r="E121" s="107"/>
      <c r="F121" s="120" t="s">
        <v>109</v>
      </c>
      <c r="G121" s="24">
        <v>550000</v>
      </c>
      <c r="H121" s="108"/>
      <c r="I121" s="225" t="s">
        <v>1313</v>
      </c>
      <c r="J121" s="62">
        <v>0</v>
      </c>
      <c r="K121" s="233">
        <f t="shared" si="1"/>
        <v>550000</v>
      </c>
      <c r="L121" s="188"/>
      <c r="M121" s="80"/>
      <c r="N121" s="81"/>
      <c r="O121" s="81"/>
      <c r="P121" s="81"/>
      <c r="Q121" s="81"/>
    </row>
    <row r="122" spans="2:17" ht="18.600000000000001" customHeight="1" x14ac:dyDescent="0.3">
      <c r="B122" s="188"/>
      <c r="C122" s="104"/>
      <c r="D122" s="105"/>
      <c r="E122" s="107"/>
      <c r="F122" s="120" t="s">
        <v>109</v>
      </c>
      <c r="G122" s="24">
        <v>510000</v>
      </c>
      <c r="H122" s="108"/>
      <c r="I122" s="225" t="s">
        <v>1311</v>
      </c>
      <c r="J122" s="62">
        <v>0</v>
      </c>
      <c r="K122" s="233">
        <f t="shared" si="1"/>
        <v>510000</v>
      </c>
      <c r="L122" s="188"/>
      <c r="M122" s="80"/>
      <c r="N122" s="81"/>
      <c r="O122" s="81"/>
      <c r="P122" s="81"/>
      <c r="Q122" s="81"/>
    </row>
    <row r="123" spans="2:17" ht="18.600000000000001" customHeight="1" x14ac:dyDescent="0.3">
      <c r="B123" s="188"/>
      <c r="C123" s="104"/>
      <c r="D123" s="105"/>
      <c r="E123" s="107"/>
      <c r="F123" s="120" t="s">
        <v>1284</v>
      </c>
      <c r="G123" s="24">
        <v>550000</v>
      </c>
      <c r="H123" s="108"/>
      <c r="I123" s="225" t="s">
        <v>1313</v>
      </c>
      <c r="J123" s="62">
        <v>0</v>
      </c>
      <c r="K123" s="233">
        <f t="shared" si="1"/>
        <v>550000</v>
      </c>
      <c r="L123" s="188"/>
      <c r="M123" s="80"/>
      <c r="N123" s="81"/>
      <c r="O123" s="81"/>
      <c r="P123" s="81"/>
      <c r="Q123" s="81"/>
    </row>
    <row r="124" spans="2:17" ht="18.600000000000001" customHeight="1" x14ac:dyDescent="0.3">
      <c r="B124" s="188"/>
      <c r="C124" s="104"/>
      <c r="D124" s="105"/>
      <c r="E124" s="107"/>
      <c r="F124" s="120" t="s">
        <v>1284</v>
      </c>
      <c r="G124" s="24">
        <v>510000</v>
      </c>
      <c r="H124" s="108"/>
      <c r="I124" s="225" t="s">
        <v>1311</v>
      </c>
      <c r="J124" s="62">
        <v>0</v>
      </c>
      <c r="K124" s="233">
        <f t="shared" si="1"/>
        <v>510000</v>
      </c>
      <c r="L124" s="188"/>
      <c r="M124" s="80"/>
      <c r="N124" s="81"/>
      <c r="O124" s="81"/>
      <c r="P124" s="81"/>
      <c r="Q124" s="81"/>
    </row>
    <row r="125" spans="2:17" ht="18.600000000000001" customHeight="1" x14ac:dyDescent="0.3">
      <c r="B125" s="188"/>
      <c r="C125" s="104"/>
      <c r="D125" s="105"/>
      <c r="E125" s="107"/>
      <c r="F125" s="120" t="s">
        <v>110</v>
      </c>
      <c r="G125" s="24">
        <v>630000</v>
      </c>
      <c r="H125" s="108"/>
      <c r="I125" s="225" t="s">
        <v>143</v>
      </c>
      <c r="J125" s="62">
        <v>0</v>
      </c>
      <c r="K125" s="233">
        <f t="shared" si="1"/>
        <v>630000</v>
      </c>
      <c r="L125" s="188"/>
      <c r="M125" s="80"/>
      <c r="N125" s="81"/>
      <c r="O125" s="81"/>
      <c r="P125" s="81"/>
      <c r="Q125" s="81"/>
    </row>
    <row r="126" spans="2:17" ht="18.600000000000001" customHeight="1" x14ac:dyDescent="0.3">
      <c r="B126" s="188"/>
      <c r="C126" s="104"/>
      <c r="D126" s="105"/>
      <c r="E126" s="107"/>
      <c r="F126" s="120" t="s">
        <v>110</v>
      </c>
      <c r="G126" s="24">
        <v>460000</v>
      </c>
      <c r="H126" s="108"/>
      <c r="I126" s="225" t="s">
        <v>102</v>
      </c>
      <c r="J126" s="62">
        <v>0</v>
      </c>
      <c r="K126" s="233">
        <f t="shared" si="1"/>
        <v>460000</v>
      </c>
      <c r="L126" s="188"/>
      <c r="M126" s="80"/>
      <c r="N126" s="81"/>
      <c r="O126" s="81"/>
      <c r="P126" s="81"/>
      <c r="Q126" s="81"/>
    </row>
    <row r="127" spans="2:17" ht="18.600000000000001" customHeight="1" x14ac:dyDescent="0.3">
      <c r="B127" s="188"/>
      <c r="C127" s="104"/>
      <c r="D127" s="105"/>
      <c r="E127" s="107"/>
      <c r="F127" s="120" t="s">
        <v>110</v>
      </c>
      <c r="G127" s="24">
        <v>730000</v>
      </c>
      <c r="H127" s="108"/>
      <c r="I127" s="225" t="s">
        <v>158</v>
      </c>
      <c r="J127" s="62">
        <v>0</v>
      </c>
      <c r="K127" s="233">
        <f t="shared" si="1"/>
        <v>730000</v>
      </c>
      <c r="L127" s="188"/>
      <c r="M127" s="80"/>
      <c r="N127" s="81"/>
      <c r="O127" s="81"/>
      <c r="P127" s="81"/>
      <c r="Q127" s="81"/>
    </row>
    <row r="128" spans="2:17" ht="18.600000000000001" customHeight="1" x14ac:dyDescent="0.3">
      <c r="B128" s="188"/>
      <c r="C128" s="104"/>
      <c r="D128" s="105"/>
      <c r="E128" s="107"/>
      <c r="F128" s="120" t="s">
        <v>110</v>
      </c>
      <c r="G128" s="24">
        <v>560000</v>
      </c>
      <c r="H128" s="108"/>
      <c r="I128" s="225" t="s">
        <v>159</v>
      </c>
      <c r="J128" s="62">
        <v>0</v>
      </c>
      <c r="K128" s="233">
        <f t="shared" si="1"/>
        <v>560000</v>
      </c>
      <c r="L128" s="188"/>
      <c r="M128" s="80"/>
      <c r="N128" s="81"/>
      <c r="O128" s="81"/>
      <c r="P128" s="81"/>
      <c r="Q128" s="81"/>
    </row>
    <row r="129" spans="2:18" ht="18.600000000000001" customHeight="1" x14ac:dyDescent="0.3">
      <c r="B129" s="188"/>
      <c r="C129" s="104"/>
      <c r="D129" s="105"/>
      <c r="E129" s="107"/>
      <c r="F129" s="120" t="s">
        <v>110</v>
      </c>
      <c r="G129" s="24">
        <v>630000</v>
      </c>
      <c r="H129" s="108"/>
      <c r="I129" s="225" t="s">
        <v>381</v>
      </c>
      <c r="J129" s="62">
        <v>0</v>
      </c>
      <c r="K129" s="233">
        <f t="shared" si="1"/>
        <v>630000</v>
      </c>
      <c r="L129" s="188"/>
      <c r="M129" s="80"/>
      <c r="N129" s="81"/>
      <c r="O129" s="81"/>
      <c r="P129" s="81"/>
      <c r="Q129" s="81"/>
    </row>
    <row r="130" spans="2:18" ht="18.600000000000001" customHeight="1" x14ac:dyDescent="0.3">
      <c r="B130" s="188"/>
      <c r="C130" s="104"/>
      <c r="D130" s="105"/>
      <c r="E130" s="107"/>
      <c r="F130" s="120" t="s">
        <v>1163</v>
      </c>
      <c r="G130" s="24">
        <v>630000</v>
      </c>
      <c r="H130" s="108"/>
      <c r="I130" s="225" t="s">
        <v>143</v>
      </c>
      <c r="J130" s="62">
        <v>0</v>
      </c>
      <c r="K130" s="233">
        <f t="shared" si="1"/>
        <v>630000</v>
      </c>
      <c r="L130" s="188"/>
      <c r="M130" s="80"/>
      <c r="N130" s="81"/>
      <c r="O130" s="81"/>
      <c r="P130" s="81"/>
      <c r="Q130" s="81"/>
    </row>
    <row r="131" spans="2:18" ht="18.600000000000001" customHeight="1" x14ac:dyDescent="0.3">
      <c r="B131" s="188"/>
      <c r="C131" s="104"/>
      <c r="D131" s="105"/>
      <c r="E131" s="107"/>
      <c r="F131" s="120" t="s">
        <v>1163</v>
      </c>
      <c r="G131" s="24">
        <v>460000</v>
      </c>
      <c r="H131" s="108"/>
      <c r="I131" s="225" t="s">
        <v>102</v>
      </c>
      <c r="J131" s="62">
        <v>0</v>
      </c>
      <c r="K131" s="233">
        <f t="shared" si="1"/>
        <v>460000</v>
      </c>
      <c r="L131" s="188"/>
      <c r="M131" s="80"/>
      <c r="N131" s="81"/>
      <c r="O131" s="81"/>
      <c r="P131" s="81"/>
      <c r="Q131" s="81"/>
    </row>
    <row r="132" spans="2:18" ht="18.600000000000001" customHeight="1" x14ac:dyDescent="0.3">
      <c r="B132" s="188"/>
      <c r="C132" s="104"/>
      <c r="D132" s="105"/>
      <c r="E132" s="107"/>
      <c r="F132" s="120" t="s">
        <v>1163</v>
      </c>
      <c r="G132" s="24">
        <v>730000</v>
      </c>
      <c r="H132" s="108"/>
      <c r="I132" s="225" t="s">
        <v>158</v>
      </c>
      <c r="J132" s="62">
        <v>0</v>
      </c>
      <c r="K132" s="233">
        <f t="shared" si="1"/>
        <v>730000</v>
      </c>
      <c r="L132" s="188"/>
      <c r="M132" s="80"/>
      <c r="N132" s="81"/>
      <c r="O132" s="81"/>
      <c r="P132" s="81"/>
      <c r="Q132" s="81"/>
    </row>
    <row r="133" spans="2:18" ht="18.600000000000001" customHeight="1" x14ac:dyDescent="0.3">
      <c r="B133" s="188"/>
      <c r="C133" s="104"/>
      <c r="D133" s="105"/>
      <c r="E133" s="107"/>
      <c r="F133" s="120" t="s">
        <v>1163</v>
      </c>
      <c r="G133" s="24">
        <v>560000</v>
      </c>
      <c r="H133" s="108"/>
      <c r="I133" s="225" t="s">
        <v>159</v>
      </c>
      <c r="J133" s="62">
        <v>0</v>
      </c>
      <c r="K133" s="233">
        <f t="shared" si="1"/>
        <v>560000</v>
      </c>
      <c r="L133" s="188"/>
      <c r="M133" s="80"/>
      <c r="N133" s="81"/>
      <c r="O133" s="81"/>
      <c r="P133" s="81"/>
      <c r="Q133" s="81"/>
    </row>
    <row r="134" spans="2:18" ht="18.600000000000001" customHeight="1" x14ac:dyDescent="0.3">
      <c r="B134" s="188"/>
      <c r="C134" s="104"/>
      <c r="D134" s="105"/>
      <c r="E134" s="107"/>
      <c r="F134" s="120" t="s">
        <v>1163</v>
      </c>
      <c r="G134" s="24">
        <v>630000</v>
      </c>
      <c r="H134" s="108"/>
      <c r="I134" s="225" t="s">
        <v>381</v>
      </c>
      <c r="J134" s="62">
        <v>0</v>
      </c>
      <c r="K134" s="233">
        <f t="shared" si="1"/>
        <v>630000</v>
      </c>
      <c r="L134" s="188"/>
      <c r="M134" s="80"/>
      <c r="N134" s="81"/>
      <c r="O134" s="81"/>
      <c r="P134" s="81"/>
      <c r="Q134" s="81"/>
    </row>
    <row r="135" spans="2:18" ht="18.600000000000001" customHeight="1" x14ac:dyDescent="0.3">
      <c r="B135" s="188"/>
      <c r="C135" s="104"/>
      <c r="D135" s="105"/>
      <c r="E135" s="107"/>
      <c r="F135" s="120" t="s">
        <v>105</v>
      </c>
      <c r="G135" s="24">
        <v>630000</v>
      </c>
      <c r="H135" s="108"/>
      <c r="I135" s="225" t="s">
        <v>143</v>
      </c>
      <c r="J135" s="62">
        <v>0</v>
      </c>
      <c r="K135" s="233">
        <f t="shared" si="1"/>
        <v>630000</v>
      </c>
      <c r="L135" s="188"/>
      <c r="M135" s="80"/>
      <c r="N135" s="81"/>
      <c r="O135" s="81"/>
      <c r="P135" s="81"/>
      <c r="Q135" s="81"/>
    </row>
    <row r="136" spans="2:18" ht="18.600000000000001" customHeight="1" x14ac:dyDescent="0.3">
      <c r="B136" s="188"/>
      <c r="C136" s="104"/>
      <c r="D136" s="105"/>
      <c r="E136" s="107"/>
      <c r="F136" s="120" t="s">
        <v>105</v>
      </c>
      <c r="G136" s="24">
        <v>460000</v>
      </c>
      <c r="H136" s="108"/>
      <c r="I136" s="225" t="s">
        <v>102</v>
      </c>
      <c r="J136" s="62">
        <v>0</v>
      </c>
      <c r="K136" s="233">
        <f t="shared" si="1"/>
        <v>460000</v>
      </c>
      <c r="L136" s="188"/>
      <c r="M136" s="80"/>
      <c r="N136" s="81"/>
      <c r="O136" s="81"/>
      <c r="P136" s="81"/>
      <c r="Q136" s="81"/>
    </row>
    <row r="137" spans="2:18" ht="18.600000000000001" customHeight="1" x14ac:dyDescent="0.3">
      <c r="B137" s="188"/>
      <c r="C137" s="104"/>
      <c r="D137" s="105"/>
      <c r="E137" s="107"/>
      <c r="F137" s="120" t="s">
        <v>105</v>
      </c>
      <c r="G137" s="24">
        <v>730000</v>
      </c>
      <c r="H137" s="108"/>
      <c r="I137" s="225" t="s">
        <v>158</v>
      </c>
      <c r="J137" s="62">
        <v>0</v>
      </c>
      <c r="K137" s="233">
        <f t="shared" si="1"/>
        <v>730000</v>
      </c>
      <c r="L137" s="188"/>
      <c r="M137" s="80"/>
      <c r="N137" s="81"/>
      <c r="O137" s="81"/>
      <c r="P137" s="81"/>
      <c r="Q137" s="81"/>
      <c r="R137" s="78" t="s">
        <v>169</v>
      </c>
    </row>
    <row r="138" spans="2:18" ht="18.600000000000001" customHeight="1" x14ac:dyDescent="0.3">
      <c r="B138" s="188"/>
      <c r="C138" s="104"/>
      <c r="D138" s="105"/>
      <c r="E138" s="107"/>
      <c r="F138" s="120" t="s">
        <v>105</v>
      </c>
      <c r="G138" s="24">
        <v>560000</v>
      </c>
      <c r="H138" s="108"/>
      <c r="I138" s="225" t="s">
        <v>159</v>
      </c>
      <c r="J138" s="62">
        <v>0</v>
      </c>
      <c r="K138" s="233">
        <f t="shared" si="1"/>
        <v>560000</v>
      </c>
      <c r="L138" s="188"/>
      <c r="M138" s="80"/>
      <c r="N138" s="81"/>
      <c r="O138" s="81"/>
      <c r="P138" s="81"/>
      <c r="Q138" s="81"/>
      <c r="R138" s="78" t="s">
        <v>170</v>
      </c>
    </row>
    <row r="139" spans="2:18" ht="18.600000000000001" customHeight="1" x14ac:dyDescent="0.3">
      <c r="B139" s="188"/>
      <c r="C139" s="104"/>
      <c r="D139" s="105"/>
      <c r="E139" s="107"/>
      <c r="F139" s="120" t="s">
        <v>133</v>
      </c>
      <c r="G139" s="24">
        <v>630000</v>
      </c>
      <c r="H139" s="108"/>
      <c r="I139" s="225" t="s">
        <v>143</v>
      </c>
      <c r="J139" s="62">
        <v>0</v>
      </c>
      <c r="K139" s="233">
        <f t="shared" si="1"/>
        <v>630000</v>
      </c>
      <c r="L139" s="188"/>
      <c r="M139" s="80"/>
      <c r="N139" s="81"/>
      <c r="O139" s="81"/>
      <c r="P139" s="81"/>
      <c r="Q139" s="81"/>
    </row>
    <row r="140" spans="2:18" ht="18.600000000000001" customHeight="1" x14ac:dyDescent="0.3">
      <c r="B140" s="188"/>
      <c r="C140" s="104"/>
      <c r="D140" s="105"/>
      <c r="E140" s="107"/>
      <c r="F140" s="120" t="s">
        <v>133</v>
      </c>
      <c r="G140" s="24">
        <v>460000</v>
      </c>
      <c r="H140" s="108"/>
      <c r="I140" s="225" t="s">
        <v>102</v>
      </c>
      <c r="J140" s="62">
        <v>0</v>
      </c>
      <c r="K140" s="233">
        <f t="shared" si="1"/>
        <v>460000</v>
      </c>
      <c r="L140" s="188"/>
      <c r="M140" s="80"/>
      <c r="N140" s="81"/>
      <c r="O140" s="81"/>
      <c r="P140" s="81"/>
      <c r="Q140" s="81"/>
    </row>
    <row r="141" spans="2:18" ht="18.600000000000001" customHeight="1" x14ac:dyDescent="0.3">
      <c r="B141" s="188"/>
      <c r="C141" s="104"/>
      <c r="D141" s="105"/>
      <c r="E141" s="107"/>
      <c r="F141" s="120" t="s">
        <v>133</v>
      </c>
      <c r="G141" s="24">
        <v>730000</v>
      </c>
      <c r="H141" s="108"/>
      <c r="I141" s="225" t="s">
        <v>158</v>
      </c>
      <c r="J141" s="62">
        <v>0</v>
      </c>
      <c r="K141" s="233">
        <f t="shared" si="1"/>
        <v>730000</v>
      </c>
      <c r="L141" s="188"/>
      <c r="M141" s="80"/>
      <c r="N141" s="81"/>
      <c r="O141" s="81"/>
      <c r="P141" s="81"/>
      <c r="Q141" s="81"/>
    </row>
    <row r="142" spans="2:18" ht="18.600000000000001" customHeight="1" x14ac:dyDescent="0.3">
      <c r="B142" s="188"/>
      <c r="C142" s="104"/>
      <c r="D142" s="105"/>
      <c r="E142" s="107"/>
      <c r="F142" s="120" t="s">
        <v>133</v>
      </c>
      <c r="G142" s="24">
        <v>560000</v>
      </c>
      <c r="H142" s="108"/>
      <c r="I142" s="225" t="s">
        <v>159</v>
      </c>
      <c r="J142" s="62">
        <v>0</v>
      </c>
      <c r="K142" s="233">
        <f t="shared" si="1"/>
        <v>560000</v>
      </c>
      <c r="L142" s="188"/>
      <c r="M142" s="80"/>
      <c r="N142" s="81"/>
      <c r="O142" s="81"/>
      <c r="P142" s="81"/>
      <c r="Q142" s="81"/>
    </row>
    <row r="143" spans="2:18" ht="18.600000000000001" customHeight="1" x14ac:dyDescent="0.3">
      <c r="B143" s="188"/>
      <c r="C143" s="104"/>
      <c r="D143" s="105"/>
      <c r="E143" s="107"/>
      <c r="F143" s="120" t="s">
        <v>135</v>
      </c>
      <c r="G143" s="24">
        <v>630000</v>
      </c>
      <c r="H143" s="108"/>
      <c r="I143" s="225" t="s">
        <v>143</v>
      </c>
      <c r="J143" s="62">
        <v>0</v>
      </c>
      <c r="K143" s="233">
        <f t="shared" si="1"/>
        <v>630000</v>
      </c>
      <c r="L143" s="188"/>
      <c r="M143" s="80"/>
      <c r="N143" s="81"/>
      <c r="O143" s="81"/>
      <c r="P143" s="81"/>
      <c r="Q143" s="81"/>
    </row>
    <row r="144" spans="2:18" ht="18.600000000000001" customHeight="1" x14ac:dyDescent="0.3">
      <c r="B144" s="188"/>
      <c r="C144" s="104"/>
      <c r="D144" s="105"/>
      <c r="E144" s="107"/>
      <c r="F144" s="120" t="s">
        <v>135</v>
      </c>
      <c r="G144" s="24">
        <v>460000</v>
      </c>
      <c r="H144" s="108"/>
      <c r="I144" s="225" t="s">
        <v>102</v>
      </c>
      <c r="J144" s="62">
        <v>0</v>
      </c>
      <c r="K144" s="233">
        <f t="shared" si="1"/>
        <v>460000</v>
      </c>
      <c r="L144" s="188"/>
      <c r="M144" s="80"/>
      <c r="N144" s="81"/>
      <c r="O144" s="81"/>
      <c r="P144" s="81"/>
      <c r="Q144" s="81"/>
    </row>
    <row r="145" spans="2:17" ht="18.600000000000001" customHeight="1" x14ac:dyDescent="0.3">
      <c r="B145" s="188"/>
      <c r="C145" s="104"/>
      <c r="D145" s="105"/>
      <c r="E145" s="107"/>
      <c r="F145" s="120" t="s">
        <v>135</v>
      </c>
      <c r="G145" s="24">
        <v>730000</v>
      </c>
      <c r="H145" s="108"/>
      <c r="I145" s="225" t="s">
        <v>158</v>
      </c>
      <c r="J145" s="62">
        <v>0</v>
      </c>
      <c r="K145" s="233">
        <f t="shared" ref="K145:K226" si="2">G145+J145</f>
        <v>730000</v>
      </c>
      <c r="L145" s="188"/>
      <c r="M145" s="80"/>
      <c r="N145" s="81"/>
      <c r="O145" s="81"/>
      <c r="P145" s="81"/>
      <c r="Q145" s="81"/>
    </row>
    <row r="146" spans="2:17" ht="18.600000000000001" customHeight="1" x14ac:dyDescent="0.3">
      <c r="B146" s="188"/>
      <c r="C146" s="104"/>
      <c r="D146" s="105"/>
      <c r="E146" s="107"/>
      <c r="F146" s="120" t="s">
        <v>135</v>
      </c>
      <c r="G146" s="24">
        <v>560000</v>
      </c>
      <c r="H146" s="108"/>
      <c r="I146" s="225" t="s">
        <v>159</v>
      </c>
      <c r="J146" s="62">
        <v>0</v>
      </c>
      <c r="K146" s="233">
        <f t="shared" si="2"/>
        <v>560000</v>
      </c>
      <c r="L146" s="188"/>
      <c r="M146" s="80"/>
      <c r="N146" s="81"/>
      <c r="O146" s="81"/>
      <c r="P146" s="81"/>
      <c r="Q146" s="81"/>
    </row>
    <row r="147" spans="2:17" ht="18.600000000000001" customHeight="1" x14ac:dyDescent="0.3">
      <c r="B147" s="188"/>
      <c r="C147" s="104"/>
      <c r="D147" s="105"/>
      <c r="E147" s="107"/>
      <c r="F147" s="120" t="s">
        <v>116</v>
      </c>
      <c r="G147" s="24">
        <v>530000</v>
      </c>
      <c r="H147" s="108"/>
      <c r="I147" s="225" t="s">
        <v>143</v>
      </c>
      <c r="J147" s="62">
        <v>0</v>
      </c>
      <c r="K147" s="233">
        <f t="shared" si="2"/>
        <v>530000</v>
      </c>
      <c r="L147" s="188"/>
      <c r="M147" s="80"/>
      <c r="N147" s="81"/>
      <c r="O147" s="81"/>
      <c r="P147" s="81"/>
      <c r="Q147" s="81"/>
    </row>
    <row r="148" spans="2:17" ht="18.600000000000001" customHeight="1" x14ac:dyDescent="0.3">
      <c r="B148" s="188"/>
      <c r="C148" s="104"/>
      <c r="D148" s="105"/>
      <c r="E148" s="107"/>
      <c r="F148" s="120" t="s">
        <v>116</v>
      </c>
      <c r="G148" s="24">
        <v>460000</v>
      </c>
      <c r="H148" s="108"/>
      <c r="I148" s="225" t="s">
        <v>102</v>
      </c>
      <c r="J148" s="62">
        <v>50000</v>
      </c>
      <c r="K148" s="233">
        <f t="shared" si="2"/>
        <v>510000</v>
      </c>
      <c r="L148" s="188"/>
      <c r="M148" s="80"/>
      <c r="N148" s="81"/>
      <c r="O148" s="81"/>
      <c r="P148" s="81"/>
      <c r="Q148" s="81"/>
    </row>
    <row r="149" spans="2:17" ht="18.600000000000001" customHeight="1" x14ac:dyDescent="0.3">
      <c r="B149" s="188"/>
      <c r="C149" s="104"/>
      <c r="D149" s="105"/>
      <c r="E149" s="107"/>
      <c r="F149" s="120" t="s">
        <v>116</v>
      </c>
      <c r="G149" s="24">
        <v>320000</v>
      </c>
      <c r="H149" s="108"/>
      <c r="I149" s="225" t="s">
        <v>1130</v>
      </c>
      <c r="J149" s="62">
        <v>0</v>
      </c>
      <c r="K149" s="233">
        <f t="shared" si="2"/>
        <v>320000</v>
      </c>
      <c r="L149" s="188"/>
      <c r="M149" s="80"/>
      <c r="N149" s="81"/>
      <c r="O149" s="81"/>
      <c r="P149" s="81"/>
      <c r="Q149" s="81"/>
    </row>
    <row r="150" spans="2:17" ht="18.600000000000001" customHeight="1" x14ac:dyDescent="0.3">
      <c r="B150" s="188"/>
      <c r="C150" s="104"/>
      <c r="D150" s="105"/>
      <c r="E150" s="107"/>
      <c r="F150" s="120" t="s">
        <v>116</v>
      </c>
      <c r="G150" s="24">
        <v>630000</v>
      </c>
      <c r="H150" s="108"/>
      <c r="I150" s="225" t="s">
        <v>158</v>
      </c>
      <c r="J150" s="62">
        <v>0</v>
      </c>
      <c r="K150" s="233">
        <f t="shared" si="2"/>
        <v>630000</v>
      </c>
      <c r="L150" s="188"/>
      <c r="M150" s="80"/>
      <c r="N150" s="81"/>
      <c r="O150" s="81"/>
      <c r="P150" s="81"/>
      <c r="Q150" s="81"/>
    </row>
    <row r="151" spans="2:17" ht="18.600000000000001" customHeight="1" x14ac:dyDescent="0.3">
      <c r="B151" s="188"/>
      <c r="C151" s="104"/>
      <c r="D151" s="105"/>
      <c r="E151" s="107"/>
      <c r="F151" s="120" t="s">
        <v>116</v>
      </c>
      <c r="G151" s="24">
        <v>560000</v>
      </c>
      <c r="H151" s="108"/>
      <c r="I151" s="225" t="s">
        <v>159</v>
      </c>
      <c r="J151" s="62">
        <v>50000</v>
      </c>
      <c r="K151" s="233">
        <f t="shared" si="2"/>
        <v>610000</v>
      </c>
      <c r="L151" s="188"/>
      <c r="M151" s="80"/>
      <c r="N151" s="81"/>
      <c r="O151" s="81"/>
      <c r="P151" s="81"/>
      <c r="Q151" s="81"/>
    </row>
    <row r="152" spans="2:17" ht="18.600000000000001" customHeight="1" x14ac:dyDescent="0.3">
      <c r="B152" s="188"/>
      <c r="C152" s="104"/>
      <c r="D152" s="105"/>
      <c r="E152" s="107"/>
      <c r="F152" s="120" t="s">
        <v>116</v>
      </c>
      <c r="G152" s="24">
        <v>420000</v>
      </c>
      <c r="H152" s="108"/>
      <c r="I152" s="225" t="s">
        <v>1136</v>
      </c>
      <c r="J152" s="62">
        <v>0</v>
      </c>
      <c r="K152" s="233">
        <f t="shared" si="2"/>
        <v>420000</v>
      </c>
      <c r="L152" s="188"/>
      <c r="M152" s="80"/>
      <c r="N152" s="81"/>
      <c r="O152" s="81"/>
      <c r="P152" s="81"/>
      <c r="Q152" s="81"/>
    </row>
    <row r="153" spans="2:17" ht="18.600000000000001" customHeight="1" x14ac:dyDescent="0.3">
      <c r="B153" s="188"/>
      <c r="C153" s="104"/>
      <c r="D153" s="105"/>
      <c r="E153" s="107"/>
      <c r="F153" s="120" t="s">
        <v>116</v>
      </c>
      <c r="G153" s="24">
        <v>530000</v>
      </c>
      <c r="H153" s="108"/>
      <c r="I153" s="225" t="s">
        <v>381</v>
      </c>
      <c r="J153" s="62"/>
      <c r="K153" s="233">
        <f t="shared" si="2"/>
        <v>530000</v>
      </c>
      <c r="L153" s="188"/>
      <c r="M153" s="80"/>
      <c r="N153" s="81"/>
      <c r="O153" s="81"/>
      <c r="P153" s="81"/>
      <c r="Q153" s="81"/>
    </row>
    <row r="154" spans="2:17" ht="18.600000000000001" customHeight="1" x14ac:dyDescent="0.3">
      <c r="B154" s="188"/>
      <c r="C154" s="104"/>
      <c r="D154" s="105"/>
      <c r="E154" s="107"/>
      <c r="F154" s="120" t="s">
        <v>1272</v>
      </c>
      <c r="G154" s="24">
        <v>550000</v>
      </c>
      <c r="H154" s="108"/>
      <c r="I154" s="225" t="s">
        <v>1313</v>
      </c>
      <c r="J154" s="62">
        <v>0</v>
      </c>
      <c r="K154" s="233">
        <f t="shared" si="2"/>
        <v>550000</v>
      </c>
      <c r="L154" s="188"/>
      <c r="M154" s="80"/>
      <c r="N154" s="81"/>
      <c r="O154" s="81"/>
      <c r="P154" s="81"/>
      <c r="Q154" s="81"/>
    </row>
    <row r="155" spans="2:17" ht="18.600000000000001" customHeight="1" x14ac:dyDescent="0.3">
      <c r="B155" s="188"/>
      <c r="C155" s="104"/>
      <c r="D155" s="105"/>
      <c r="E155" s="107"/>
      <c r="F155" s="120" t="s">
        <v>1272</v>
      </c>
      <c r="G155" s="24">
        <v>510000</v>
      </c>
      <c r="H155" s="108"/>
      <c r="I155" s="225" t="s">
        <v>1311</v>
      </c>
      <c r="J155" s="62">
        <v>0</v>
      </c>
      <c r="K155" s="233">
        <f t="shared" si="2"/>
        <v>510000</v>
      </c>
      <c r="L155" s="188"/>
      <c r="M155" s="80"/>
      <c r="N155" s="81"/>
      <c r="O155" s="81"/>
      <c r="P155" s="81"/>
      <c r="Q155" s="81"/>
    </row>
    <row r="156" spans="2:17" ht="18.600000000000001" customHeight="1" x14ac:dyDescent="0.3">
      <c r="B156" s="188"/>
      <c r="C156" s="104"/>
      <c r="D156" s="105"/>
      <c r="E156" s="107"/>
      <c r="F156" s="120" t="s">
        <v>1272</v>
      </c>
      <c r="G156" s="24">
        <v>420000</v>
      </c>
      <c r="H156" s="108"/>
      <c r="I156" s="225" t="s">
        <v>1364</v>
      </c>
      <c r="J156" s="62">
        <v>0</v>
      </c>
      <c r="K156" s="233">
        <f t="shared" si="2"/>
        <v>420000</v>
      </c>
      <c r="L156" s="188"/>
      <c r="M156" s="80"/>
      <c r="N156" s="81"/>
      <c r="O156" s="81"/>
      <c r="P156" s="81"/>
      <c r="Q156" s="81"/>
    </row>
    <row r="157" spans="2:17" ht="18.600000000000001" customHeight="1" x14ac:dyDescent="0.3">
      <c r="B157" s="188"/>
      <c r="C157" s="104"/>
      <c r="D157" s="105"/>
      <c r="E157" s="107"/>
      <c r="F157" s="120" t="s">
        <v>1187</v>
      </c>
      <c r="G157" s="24">
        <v>530000</v>
      </c>
      <c r="H157" s="108"/>
      <c r="I157" s="225" t="s">
        <v>143</v>
      </c>
      <c r="J157" s="62">
        <v>0</v>
      </c>
      <c r="K157" s="233">
        <f t="shared" si="2"/>
        <v>530000</v>
      </c>
      <c r="L157" s="188"/>
      <c r="M157" s="80"/>
      <c r="N157" s="81"/>
      <c r="O157" s="81"/>
      <c r="P157" s="81"/>
      <c r="Q157" s="81"/>
    </row>
    <row r="158" spans="2:17" ht="18.600000000000001" customHeight="1" x14ac:dyDescent="0.3">
      <c r="B158" s="188"/>
      <c r="C158" s="104"/>
      <c r="D158" s="105"/>
      <c r="E158" s="107"/>
      <c r="F158" s="120" t="s">
        <v>1187</v>
      </c>
      <c r="G158" s="24">
        <v>460000</v>
      </c>
      <c r="H158" s="108"/>
      <c r="I158" s="225" t="s">
        <v>102</v>
      </c>
      <c r="J158" s="62">
        <v>50000</v>
      </c>
      <c r="K158" s="233">
        <f t="shared" si="2"/>
        <v>510000</v>
      </c>
      <c r="L158" s="188"/>
      <c r="M158" s="80"/>
      <c r="N158" s="81"/>
      <c r="O158" s="81"/>
      <c r="P158" s="81"/>
      <c r="Q158" s="81"/>
    </row>
    <row r="159" spans="2:17" ht="18.600000000000001" customHeight="1" x14ac:dyDescent="0.3">
      <c r="B159" s="188"/>
      <c r="C159" s="104"/>
      <c r="D159" s="105"/>
      <c r="E159" s="107"/>
      <c r="F159" s="120" t="s">
        <v>1187</v>
      </c>
      <c r="G159" s="24">
        <v>320000</v>
      </c>
      <c r="H159" s="108"/>
      <c r="I159" s="225" t="s">
        <v>1130</v>
      </c>
      <c r="J159" s="62">
        <v>0</v>
      </c>
      <c r="K159" s="233">
        <f t="shared" si="2"/>
        <v>320000</v>
      </c>
      <c r="L159" s="188"/>
      <c r="M159" s="80"/>
      <c r="N159" s="81"/>
      <c r="O159" s="81"/>
      <c r="P159" s="81"/>
      <c r="Q159" s="81"/>
    </row>
    <row r="160" spans="2:17" ht="18.600000000000001" customHeight="1" x14ac:dyDescent="0.3">
      <c r="B160" s="188"/>
      <c r="C160" s="104"/>
      <c r="D160" s="105"/>
      <c r="E160" s="107"/>
      <c r="F160" s="120" t="s">
        <v>1187</v>
      </c>
      <c r="G160" s="24">
        <v>630000</v>
      </c>
      <c r="H160" s="108"/>
      <c r="I160" s="225" t="s">
        <v>158</v>
      </c>
      <c r="J160" s="62">
        <v>0</v>
      </c>
      <c r="K160" s="233">
        <f t="shared" si="2"/>
        <v>630000</v>
      </c>
      <c r="L160" s="188"/>
      <c r="M160" s="80"/>
      <c r="N160" s="81"/>
      <c r="O160" s="81"/>
      <c r="P160" s="81"/>
      <c r="Q160" s="81"/>
    </row>
    <row r="161" spans="2:18" ht="18.600000000000001" customHeight="1" x14ac:dyDescent="0.3">
      <c r="B161" s="188"/>
      <c r="C161" s="104"/>
      <c r="D161" s="105"/>
      <c r="E161" s="107"/>
      <c r="F161" s="120" t="s">
        <v>1187</v>
      </c>
      <c r="G161" s="24">
        <v>560000</v>
      </c>
      <c r="H161" s="108"/>
      <c r="I161" s="225" t="s">
        <v>159</v>
      </c>
      <c r="J161" s="62">
        <v>50000</v>
      </c>
      <c r="K161" s="233">
        <f t="shared" si="2"/>
        <v>610000</v>
      </c>
      <c r="L161" s="188"/>
      <c r="M161" s="80"/>
      <c r="N161" s="81"/>
      <c r="O161" s="81"/>
      <c r="P161" s="81"/>
      <c r="Q161" s="81"/>
    </row>
    <row r="162" spans="2:18" ht="18.600000000000001" customHeight="1" x14ac:dyDescent="0.3">
      <c r="B162" s="188"/>
      <c r="C162" s="104"/>
      <c r="D162" s="105"/>
      <c r="E162" s="107"/>
      <c r="F162" s="120" t="s">
        <v>1187</v>
      </c>
      <c r="G162" s="24">
        <v>420000</v>
      </c>
      <c r="H162" s="108"/>
      <c r="I162" s="225" t="s">
        <v>1136</v>
      </c>
      <c r="J162" s="62">
        <v>0</v>
      </c>
      <c r="K162" s="233">
        <f t="shared" si="2"/>
        <v>420000</v>
      </c>
      <c r="L162" s="188"/>
      <c r="M162" s="80"/>
      <c r="N162" s="81"/>
      <c r="O162" s="81"/>
      <c r="P162" s="81"/>
      <c r="Q162" s="81"/>
    </row>
    <row r="163" spans="2:18" ht="18.600000000000001" customHeight="1" x14ac:dyDescent="0.3">
      <c r="B163" s="188"/>
      <c r="C163" s="104"/>
      <c r="D163" s="105"/>
      <c r="E163" s="107"/>
      <c r="F163" s="120" t="s">
        <v>1187</v>
      </c>
      <c r="G163" s="24">
        <v>530000</v>
      </c>
      <c r="H163" s="108"/>
      <c r="I163" s="225" t="s">
        <v>381</v>
      </c>
      <c r="J163" s="62"/>
      <c r="K163" s="233">
        <f t="shared" si="2"/>
        <v>530000</v>
      </c>
      <c r="L163" s="188"/>
      <c r="M163" s="80"/>
      <c r="N163" s="81"/>
      <c r="O163" s="81"/>
      <c r="P163" s="81"/>
      <c r="Q163" s="81"/>
    </row>
    <row r="164" spans="2:18" ht="18.600000000000001" customHeight="1" x14ac:dyDescent="0.3">
      <c r="B164" s="188"/>
      <c r="C164" s="104"/>
      <c r="D164" s="105"/>
      <c r="E164" s="107"/>
      <c r="F164" s="120" t="s">
        <v>1187</v>
      </c>
      <c r="G164" s="24">
        <v>550000</v>
      </c>
      <c r="H164" s="108"/>
      <c r="I164" s="225" t="s">
        <v>1313</v>
      </c>
      <c r="J164" s="62">
        <v>0</v>
      </c>
      <c r="K164" s="233">
        <f t="shared" si="2"/>
        <v>550000</v>
      </c>
      <c r="L164" s="188"/>
      <c r="M164" s="80"/>
      <c r="N164" s="81"/>
      <c r="O164" s="81"/>
      <c r="P164" s="81"/>
      <c r="Q164" s="81"/>
    </row>
    <row r="165" spans="2:18" ht="18.600000000000001" customHeight="1" x14ac:dyDescent="0.3">
      <c r="B165" s="188"/>
      <c r="C165" s="104"/>
      <c r="D165" s="105"/>
      <c r="E165" s="107"/>
      <c r="F165" s="120" t="s">
        <v>1187</v>
      </c>
      <c r="G165" s="24">
        <v>510000</v>
      </c>
      <c r="H165" s="108"/>
      <c r="I165" s="225" t="s">
        <v>1311</v>
      </c>
      <c r="J165" s="62">
        <v>0</v>
      </c>
      <c r="K165" s="233">
        <f t="shared" si="2"/>
        <v>510000</v>
      </c>
      <c r="L165" s="188"/>
      <c r="M165" s="80"/>
      <c r="N165" s="81"/>
      <c r="O165" s="81"/>
      <c r="P165" s="81"/>
      <c r="Q165" s="81"/>
    </row>
    <row r="166" spans="2:18" ht="18.600000000000001" customHeight="1" x14ac:dyDescent="0.3">
      <c r="B166" s="188"/>
      <c r="C166" s="104"/>
      <c r="D166" s="105"/>
      <c r="E166" s="107"/>
      <c r="F166" s="120" t="s">
        <v>1187</v>
      </c>
      <c r="G166" s="24">
        <v>420000</v>
      </c>
      <c r="H166" s="108"/>
      <c r="I166" s="225" t="s">
        <v>1364</v>
      </c>
      <c r="J166" s="62">
        <v>0</v>
      </c>
      <c r="K166" s="233">
        <f t="shared" si="2"/>
        <v>420000</v>
      </c>
      <c r="L166" s="188"/>
      <c r="M166" s="80"/>
      <c r="N166" s="81"/>
      <c r="O166" s="81"/>
      <c r="P166" s="81"/>
      <c r="Q166" s="81"/>
    </row>
    <row r="167" spans="2:18" ht="18.600000000000001" customHeight="1" x14ac:dyDescent="0.3">
      <c r="B167" s="188"/>
      <c r="C167" s="104"/>
      <c r="D167" s="105"/>
      <c r="E167" s="107"/>
      <c r="F167" s="120" t="s">
        <v>103</v>
      </c>
      <c r="G167" s="24">
        <v>530000</v>
      </c>
      <c r="H167" s="108"/>
      <c r="I167" s="225" t="s">
        <v>143</v>
      </c>
      <c r="J167" s="62">
        <v>0</v>
      </c>
      <c r="K167" s="233">
        <f t="shared" si="2"/>
        <v>530000</v>
      </c>
      <c r="L167" s="188"/>
      <c r="M167" s="80"/>
      <c r="N167" s="81"/>
      <c r="O167" s="81"/>
      <c r="P167" s="81"/>
      <c r="Q167" s="81"/>
    </row>
    <row r="168" spans="2:18" ht="18.600000000000001" customHeight="1" x14ac:dyDescent="0.3">
      <c r="B168" s="188"/>
      <c r="C168" s="104"/>
      <c r="D168" s="105"/>
      <c r="E168" s="107"/>
      <c r="F168" s="120" t="s">
        <v>103</v>
      </c>
      <c r="G168" s="24">
        <v>460000</v>
      </c>
      <c r="H168" s="108"/>
      <c r="I168" s="225" t="s">
        <v>102</v>
      </c>
      <c r="J168" s="62">
        <v>50000</v>
      </c>
      <c r="K168" s="233">
        <f t="shared" si="2"/>
        <v>510000</v>
      </c>
      <c r="L168" s="188"/>
      <c r="M168" s="5"/>
      <c r="N168" s="81"/>
      <c r="O168" s="81"/>
      <c r="P168" s="81"/>
      <c r="Q168" s="81"/>
      <c r="R168" s="5"/>
    </row>
    <row r="169" spans="2:18" ht="18.600000000000001" customHeight="1" x14ac:dyDescent="0.3">
      <c r="B169" s="188"/>
      <c r="C169" s="104"/>
      <c r="D169" s="105"/>
      <c r="E169" s="107"/>
      <c r="F169" s="120" t="s">
        <v>103</v>
      </c>
      <c r="G169" s="24">
        <v>320000</v>
      </c>
      <c r="H169" s="108"/>
      <c r="I169" s="225" t="s">
        <v>1130</v>
      </c>
      <c r="J169" s="62">
        <v>0</v>
      </c>
      <c r="K169" s="233">
        <f t="shared" si="2"/>
        <v>320000</v>
      </c>
      <c r="L169" s="188"/>
      <c r="M169" s="5"/>
      <c r="N169" s="81"/>
      <c r="O169" s="81"/>
      <c r="P169" s="81"/>
      <c r="Q169" s="81"/>
      <c r="R169" s="5"/>
    </row>
    <row r="170" spans="2:18" ht="18.600000000000001" customHeight="1" x14ac:dyDescent="0.3">
      <c r="B170" s="188"/>
      <c r="C170" s="104"/>
      <c r="D170" s="105"/>
      <c r="E170" s="107"/>
      <c r="F170" s="120" t="s">
        <v>103</v>
      </c>
      <c r="G170" s="24">
        <v>630000</v>
      </c>
      <c r="H170" s="108"/>
      <c r="I170" s="225" t="s">
        <v>158</v>
      </c>
      <c r="J170" s="62">
        <v>0</v>
      </c>
      <c r="K170" s="233">
        <f t="shared" si="2"/>
        <v>630000</v>
      </c>
      <c r="L170" s="188"/>
      <c r="M170" s="5"/>
      <c r="N170" s="81"/>
      <c r="O170" s="81"/>
      <c r="P170" s="81"/>
      <c r="Q170" s="81"/>
      <c r="R170" s="5"/>
    </row>
    <row r="171" spans="2:18" ht="18.600000000000001" customHeight="1" x14ac:dyDescent="0.3">
      <c r="B171" s="188"/>
      <c r="C171" s="104"/>
      <c r="D171" s="105"/>
      <c r="E171" s="107"/>
      <c r="F171" s="120" t="s">
        <v>103</v>
      </c>
      <c r="G171" s="24">
        <v>560000</v>
      </c>
      <c r="H171" s="108"/>
      <c r="I171" s="225" t="s">
        <v>159</v>
      </c>
      <c r="J171" s="62">
        <v>50000</v>
      </c>
      <c r="K171" s="233">
        <f t="shared" si="2"/>
        <v>610000</v>
      </c>
      <c r="L171" s="188"/>
      <c r="M171" s="5"/>
      <c r="N171" s="81"/>
      <c r="O171" s="81"/>
      <c r="P171" s="81"/>
      <c r="Q171" s="81"/>
      <c r="R171" s="5"/>
    </row>
    <row r="172" spans="2:18" ht="18.600000000000001" customHeight="1" x14ac:dyDescent="0.3">
      <c r="B172" s="188"/>
      <c r="C172" s="104"/>
      <c r="D172" s="105"/>
      <c r="E172" s="107"/>
      <c r="F172" s="120" t="s">
        <v>103</v>
      </c>
      <c r="G172" s="24">
        <v>420000</v>
      </c>
      <c r="H172" s="108"/>
      <c r="I172" s="225" t="s">
        <v>1136</v>
      </c>
      <c r="J172" s="62">
        <v>0</v>
      </c>
      <c r="K172" s="233">
        <f t="shared" si="2"/>
        <v>420000</v>
      </c>
      <c r="L172" s="188"/>
      <c r="M172" s="5"/>
      <c r="N172" s="81"/>
      <c r="O172" s="81"/>
      <c r="P172" s="81"/>
      <c r="Q172" s="81"/>
      <c r="R172" s="5"/>
    </row>
    <row r="173" spans="2:18" ht="18.600000000000001" customHeight="1" x14ac:dyDescent="0.3">
      <c r="B173" s="188"/>
      <c r="C173" s="104"/>
      <c r="D173" s="105"/>
      <c r="E173" s="107"/>
      <c r="F173" s="120" t="s">
        <v>103</v>
      </c>
      <c r="G173" s="24">
        <v>530000</v>
      </c>
      <c r="H173" s="108"/>
      <c r="I173" s="225" t="s">
        <v>381</v>
      </c>
      <c r="J173" s="62"/>
      <c r="K173" s="233">
        <f t="shared" si="2"/>
        <v>530000</v>
      </c>
      <c r="L173" s="188"/>
      <c r="M173" s="5"/>
      <c r="N173" s="81"/>
      <c r="O173" s="81"/>
      <c r="P173" s="81"/>
      <c r="Q173" s="81"/>
      <c r="R173" s="5"/>
    </row>
    <row r="174" spans="2:18" ht="18.600000000000001" customHeight="1" x14ac:dyDescent="0.3">
      <c r="B174" s="188"/>
      <c r="C174" s="104"/>
      <c r="D174" s="105"/>
      <c r="E174" s="107"/>
      <c r="F174" s="120" t="s">
        <v>137</v>
      </c>
      <c r="G174" s="24">
        <v>530000</v>
      </c>
      <c r="H174" s="108"/>
      <c r="I174" s="225" t="s">
        <v>143</v>
      </c>
      <c r="J174" s="62">
        <v>0</v>
      </c>
      <c r="K174" s="233">
        <f t="shared" si="2"/>
        <v>530000</v>
      </c>
      <c r="L174" s="188"/>
      <c r="M174" s="5"/>
      <c r="N174" s="81"/>
      <c r="O174" s="81"/>
      <c r="P174" s="81"/>
      <c r="Q174" s="81"/>
      <c r="R174" s="5"/>
    </row>
    <row r="175" spans="2:18" ht="18.600000000000001" customHeight="1" x14ac:dyDescent="0.3">
      <c r="B175" s="188"/>
      <c r="C175" s="104"/>
      <c r="D175" s="105"/>
      <c r="E175" s="107"/>
      <c r="F175" s="120" t="s">
        <v>137</v>
      </c>
      <c r="G175" s="24">
        <v>460000</v>
      </c>
      <c r="H175" s="108"/>
      <c r="I175" s="225" t="s">
        <v>102</v>
      </c>
      <c r="J175" s="62">
        <v>50000</v>
      </c>
      <c r="K175" s="233">
        <f t="shared" si="2"/>
        <v>510000</v>
      </c>
      <c r="L175" s="188"/>
      <c r="M175" s="5"/>
      <c r="N175" s="81"/>
      <c r="O175" s="81"/>
      <c r="P175" s="81"/>
      <c r="Q175" s="81"/>
      <c r="R175" s="5"/>
    </row>
    <row r="176" spans="2:18" ht="18.600000000000001" customHeight="1" x14ac:dyDescent="0.3">
      <c r="B176" s="188"/>
      <c r="C176" s="104"/>
      <c r="D176" s="105"/>
      <c r="E176" s="107"/>
      <c r="F176" s="120" t="s">
        <v>137</v>
      </c>
      <c r="G176" s="24">
        <v>320000</v>
      </c>
      <c r="H176" s="108"/>
      <c r="I176" s="225" t="s">
        <v>1130</v>
      </c>
      <c r="J176" s="62">
        <v>0</v>
      </c>
      <c r="K176" s="233">
        <f t="shared" si="2"/>
        <v>320000</v>
      </c>
      <c r="L176" s="188"/>
      <c r="M176" s="5"/>
      <c r="N176" s="81"/>
      <c r="O176" s="81"/>
      <c r="P176" s="81"/>
      <c r="Q176" s="81"/>
      <c r="R176" s="5"/>
    </row>
    <row r="177" spans="2:18" ht="18.600000000000001" customHeight="1" x14ac:dyDescent="0.3">
      <c r="B177" s="188"/>
      <c r="C177" s="104"/>
      <c r="D177" s="105"/>
      <c r="E177" s="107"/>
      <c r="F177" s="120" t="s">
        <v>137</v>
      </c>
      <c r="G177" s="24">
        <v>630000</v>
      </c>
      <c r="H177" s="108"/>
      <c r="I177" s="225" t="s">
        <v>158</v>
      </c>
      <c r="J177" s="62">
        <v>0</v>
      </c>
      <c r="K177" s="233">
        <f t="shared" si="2"/>
        <v>630000</v>
      </c>
      <c r="L177" s="188"/>
      <c r="M177" s="5"/>
      <c r="N177" s="81"/>
      <c r="O177" s="81"/>
      <c r="P177" s="81"/>
      <c r="Q177" s="81"/>
      <c r="R177" s="5"/>
    </row>
    <row r="178" spans="2:18" ht="18.600000000000001" customHeight="1" x14ac:dyDescent="0.3">
      <c r="B178" s="188"/>
      <c r="C178" s="104"/>
      <c r="D178" s="105"/>
      <c r="E178" s="107"/>
      <c r="F178" s="120" t="s">
        <v>137</v>
      </c>
      <c r="G178" s="24">
        <v>560000</v>
      </c>
      <c r="H178" s="108"/>
      <c r="I178" s="225" t="s">
        <v>159</v>
      </c>
      <c r="J178" s="62">
        <v>50000</v>
      </c>
      <c r="K178" s="233">
        <f t="shared" si="2"/>
        <v>610000</v>
      </c>
      <c r="L178" s="188"/>
      <c r="M178" s="5"/>
      <c r="N178" s="81"/>
      <c r="O178" s="81"/>
      <c r="P178" s="81"/>
      <c r="Q178" s="81"/>
      <c r="R178" s="5"/>
    </row>
    <row r="179" spans="2:18" ht="18.600000000000001" customHeight="1" x14ac:dyDescent="0.3">
      <c r="B179" s="188"/>
      <c r="C179" s="104"/>
      <c r="D179" s="105"/>
      <c r="E179" s="107"/>
      <c r="F179" s="120" t="s">
        <v>137</v>
      </c>
      <c r="G179" s="24">
        <v>420000</v>
      </c>
      <c r="H179" s="108"/>
      <c r="I179" s="225" t="s">
        <v>1136</v>
      </c>
      <c r="J179" s="62">
        <v>0</v>
      </c>
      <c r="K179" s="233">
        <f t="shared" si="2"/>
        <v>420000</v>
      </c>
      <c r="L179" s="188"/>
      <c r="M179" s="5"/>
      <c r="N179" s="81"/>
      <c r="O179" s="81"/>
      <c r="P179" s="81"/>
      <c r="Q179" s="81"/>
      <c r="R179" s="5"/>
    </row>
    <row r="180" spans="2:18" ht="18.600000000000001" customHeight="1" x14ac:dyDescent="0.3">
      <c r="B180" s="188"/>
      <c r="C180" s="104"/>
      <c r="D180" s="105"/>
      <c r="E180" s="107"/>
      <c r="F180" s="120" t="s">
        <v>137</v>
      </c>
      <c r="G180" s="24">
        <v>530000</v>
      </c>
      <c r="H180" s="108"/>
      <c r="I180" s="225" t="s">
        <v>381</v>
      </c>
      <c r="J180" s="62"/>
      <c r="K180" s="233">
        <f t="shared" si="2"/>
        <v>530000</v>
      </c>
      <c r="L180" s="188"/>
      <c r="M180" s="5"/>
      <c r="N180" s="81"/>
      <c r="O180" s="81"/>
      <c r="P180" s="81"/>
      <c r="Q180" s="81"/>
      <c r="R180" s="5"/>
    </row>
    <row r="181" spans="2:18" ht="18.600000000000001" customHeight="1" x14ac:dyDescent="0.3">
      <c r="B181" s="188"/>
      <c r="C181" s="104"/>
      <c r="D181" s="105"/>
      <c r="E181" s="107"/>
      <c r="F181" s="120" t="s">
        <v>137</v>
      </c>
      <c r="G181" s="24">
        <v>550000</v>
      </c>
      <c r="H181" s="108"/>
      <c r="I181" s="225" t="s">
        <v>1313</v>
      </c>
      <c r="J181" s="62">
        <v>0</v>
      </c>
      <c r="K181" s="233">
        <f t="shared" si="2"/>
        <v>550000</v>
      </c>
      <c r="L181" s="188"/>
      <c r="M181" s="5"/>
      <c r="N181" s="81"/>
      <c r="O181" s="81"/>
      <c r="P181" s="81"/>
      <c r="Q181" s="81"/>
      <c r="R181" s="5"/>
    </row>
    <row r="182" spans="2:18" ht="18.600000000000001" customHeight="1" x14ac:dyDescent="0.3">
      <c r="B182" s="188"/>
      <c r="C182" s="104"/>
      <c r="D182" s="105"/>
      <c r="E182" s="107"/>
      <c r="F182" s="120" t="s">
        <v>137</v>
      </c>
      <c r="G182" s="24">
        <v>510000</v>
      </c>
      <c r="H182" s="108"/>
      <c r="I182" s="225" t="s">
        <v>1311</v>
      </c>
      <c r="J182" s="62">
        <v>0</v>
      </c>
      <c r="K182" s="233">
        <f t="shared" si="2"/>
        <v>510000</v>
      </c>
      <c r="L182" s="188"/>
      <c r="M182" s="5"/>
      <c r="N182" s="81"/>
      <c r="O182" s="81"/>
      <c r="P182" s="81"/>
      <c r="Q182" s="81"/>
      <c r="R182" s="5"/>
    </row>
    <row r="183" spans="2:18" ht="18.600000000000001" customHeight="1" x14ac:dyDescent="0.3">
      <c r="B183" s="188"/>
      <c r="C183" s="104"/>
      <c r="D183" s="105"/>
      <c r="E183" s="107"/>
      <c r="F183" s="120" t="s">
        <v>137</v>
      </c>
      <c r="G183" s="24">
        <v>420000</v>
      </c>
      <c r="H183" s="108"/>
      <c r="I183" s="225" t="s">
        <v>1364</v>
      </c>
      <c r="J183" s="62">
        <v>0</v>
      </c>
      <c r="K183" s="233">
        <f t="shared" si="2"/>
        <v>420000</v>
      </c>
      <c r="L183" s="188"/>
      <c r="M183" s="5"/>
      <c r="N183" s="81"/>
      <c r="O183" s="81"/>
      <c r="P183" s="81"/>
      <c r="Q183" s="81"/>
      <c r="R183" s="5"/>
    </row>
    <row r="184" spans="2:18" ht="18.600000000000001" customHeight="1" x14ac:dyDescent="0.3">
      <c r="B184" s="188"/>
      <c r="C184" s="104"/>
      <c r="D184" s="105"/>
      <c r="E184" s="107"/>
      <c r="F184" s="120" t="s">
        <v>148</v>
      </c>
      <c r="G184" s="24">
        <v>460000</v>
      </c>
      <c r="H184" s="108"/>
      <c r="I184" s="225" t="s">
        <v>102</v>
      </c>
      <c r="J184" s="62">
        <v>50000</v>
      </c>
      <c r="K184" s="233">
        <f t="shared" si="2"/>
        <v>510000</v>
      </c>
      <c r="L184" s="188"/>
      <c r="M184" s="5"/>
      <c r="N184" s="81"/>
      <c r="O184" s="81"/>
      <c r="P184" s="81"/>
      <c r="Q184" s="81"/>
      <c r="R184" s="5"/>
    </row>
    <row r="185" spans="2:18" ht="18.600000000000001" customHeight="1" x14ac:dyDescent="0.3">
      <c r="B185" s="188"/>
      <c r="C185" s="104"/>
      <c r="D185" s="105"/>
      <c r="E185" s="107"/>
      <c r="F185" s="120" t="s">
        <v>148</v>
      </c>
      <c r="G185" s="24">
        <v>320000</v>
      </c>
      <c r="H185" s="108"/>
      <c r="I185" s="225" t="s">
        <v>1130</v>
      </c>
      <c r="J185" s="62">
        <v>0</v>
      </c>
      <c r="K185" s="233">
        <f t="shared" si="2"/>
        <v>320000</v>
      </c>
      <c r="L185" s="188"/>
      <c r="M185" s="5"/>
      <c r="N185" s="81"/>
      <c r="O185" s="81"/>
      <c r="P185" s="81"/>
      <c r="Q185" s="81"/>
      <c r="R185" s="5"/>
    </row>
    <row r="186" spans="2:18" ht="18.600000000000001" customHeight="1" x14ac:dyDescent="0.3">
      <c r="B186" s="188"/>
      <c r="C186" s="104"/>
      <c r="D186" s="105"/>
      <c r="E186" s="107"/>
      <c r="F186" s="120" t="s">
        <v>148</v>
      </c>
      <c r="G186" s="24">
        <v>560000</v>
      </c>
      <c r="H186" s="108"/>
      <c r="I186" s="225" t="s">
        <v>159</v>
      </c>
      <c r="J186" s="62">
        <v>50000</v>
      </c>
      <c r="K186" s="233">
        <f t="shared" si="2"/>
        <v>610000</v>
      </c>
      <c r="L186" s="188"/>
      <c r="M186" s="5"/>
      <c r="N186" s="81"/>
      <c r="O186" s="81"/>
      <c r="P186" s="81"/>
      <c r="Q186" s="81"/>
      <c r="R186" s="5"/>
    </row>
    <row r="187" spans="2:18" ht="18.600000000000001" customHeight="1" x14ac:dyDescent="0.3">
      <c r="B187" s="188"/>
      <c r="C187" s="104"/>
      <c r="D187" s="105"/>
      <c r="E187" s="107"/>
      <c r="F187" s="120" t="s">
        <v>148</v>
      </c>
      <c r="G187" s="24">
        <v>420000</v>
      </c>
      <c r="H187" s="108"/>
      <c r="I187" s="225" t="s">
        <v>1136</v>
      </c>
      <c r="J187" s="62">
        <v>0</v>
      </c>
      <c r="K187" s="233">
        <f t="shared" si="2"/>
        <v>420000</v>
      </c>
      <c r="L187" s="188"/>
      <c r="M187" s="5"/>
      <c r="N187" s="81"/>
      <c r="O187" s="81"/>
      <c r="P187" s="81"/>
      <c r="Q187" s="81"/>
      <c r="R187" s="5"/>
    </row>
    <row r="188" spans="2:18" ht="18.600000000000001" customHeight="1" x14ac:dyDescent="0.3">
      <c r="B188" s="188"/>
      <c r="C188" s="104"/>
      <c r="D188" s="105"/>
      <c r="E188" s="107"/>
      <c r="F188" s="120" t="s">
        <v>120</v>
      </c>
      <c r="G188" s="24">
        <v>800000</v>
      </c>
      <c r="H188" s="108"/>
      <c r="I188" s="225" t="s">
        <v>141</v>
      </c>
      <c r="J188" s="62">
        <v>0</v>
      </c>
      <c r="K188" s="233">
        <f t="shared" si="2"/>
        <v>800000</v>
      </c>
      <c r="L188" s="188"/>
      <c r="M188" s="5"/>
      <c r="N188" s="81"/>
      <c r="O188" s="81"/>
      <c r="P188" s="81"/>
      <c r="Q188" s="81"/>
      <c r="R188" s="5"/>
    </row>
    <row r="189" spans="2:18" ht="18.600000000000001" customHeight="1" x14ac:dyDescent="0.3">
      <c r="B189" s="188"/>
      <c r="C189" s="104"/>
      <c r="D189" s="105"/>
      <c r="E189" s="107"/>
      <c r="F189" s="120" t="s">
        <v>120</v>
      </c>
      <c r="G189" s="24">
        <v>580000</v>
      </c>
      <c r="H189" s="108"/>
      <c r="I189" s="225" t="s">
        <v>143</v>
      </c>
      <c r="J189" s="62">
        <v>0</v>
      </c>
      <c r="K189" s="233">
        <f t="shared" si="2"/>
        <v>580000</v>
      </c>
      <c r="L189" s="188"/>
      <c r="M189" s="5"/>
      <c r="N189" s="81"/>
      <c r="O189" s="81"/>
      <c r="P189" s="81"/>
      <c r="Q189" s="81"/>
      <c r="R189" s="5"/>
    </row>
    <row r="190" spans="2:18" ht="18.600000000000001" customHeight="1" x14ac:dyDescent="0.3">
      <c r="B190" s="188"/>
      <c r="C190" s="104"/>
      <c r="D190" s="105"/>
      <c r="E190" s="107"/>
      <c r="F190" s="120" t="s">
        <v>120</v>
      </c>
      <c r="G190" s="24">
        <v>900000</v>
      </c>
      <c r="H190" s="108"/>
      <c r="I190" s="225" t="s">
        <v>157</v>
      </c>
      <c r="J190" s="62">
        <v>0</v>
      </c>
      <c r="K190" s="233">
        <f t="shared" si="2"/>
        <v>900000</v>
      </c>
      <c r="L190" s="188"/>
      <c r="M190" s="5"/>
      <c r="N190" s="81"/>
      <c r="O190" s="81"/>
      <c r="P190" s="81"/>
      <c r="Q190" s="81"/>
      <c r="R190" s="5"/>
    </row>
    <row r="191" spans="2:18" ht="18.600000000000001" customHeight="1" x14ac:dyDescent="0.3">
      <c r="B191" s="188"/>
      <c r="C191" s="104"/>
      <c r="D191" s="105"/>
      <c r="E191" s="107"/>
      <c r="F191" s="120" t="s">
        <v>120</v>
      </c>
      <c r="G191" s="24">
        <v>680000</v>
      </c>
      <c r="H191" s="108"/>
      <c r="I191" s="225" t="s">
        <v>158</v>
      </c>
      <c r="J191" s="62">
        <v>0</v>
      </c>
      <c r="K191" s="233">
        <f t="shared" si="2"/>
        <v>680000</v>
      </c>
      <c r="L191" s="188"/>
      <c r="M191" s="5"/>
      <c r="N191" s="81"/>
      <c r="O191" s="81"/>
      <c r="P191" s="81"/>
      <c r="Q191" s="81"/>
      <c r="R191" s="5"/>
    </row>
    <row r="192" spans="2:18" ht="18.600000000000001" customHeight="1" x14ac:dyDescent="0.3">
      <c r="B192" s="188"/>
      <c r="C192" s="104"/>
      <c r="D192" s="105"/>
      <c r="E192" s="107"/>
      <c r="F192" s="120" t="s">
        <v>1257</v>
      </c>
      <c r="G192" s="24">
        <v>550000</v>
      </c>
      <c r="H192" s="108"/>
      <c r="I192" s="225" t="s">
        <v>1313</v>
      </c>
      <c r="J192" s="62">
        <v>0</v>
      </c>
      <c r="K192" s="233">
        <f t="shared" si="2"/>
        <v>550000</v>
      </c>
      <c r="L192" s="188"/>
      <c r="M192" s="5"/>
      <c r="N192" s="81"/>
      <c r="O192" s="81"/>
      <c r="P192" s="81"/>
      <c r="Q192" s="81"/>
      <c r="R192" s="5"/>
    </row>
    <row r="193" spans="2:18" ht="18.600000000000001" customHeight="1" x14ac:dyDescent="0.3">
      <c r="B193" s="188"/>
      <c r="C193" s="104"/>
      <c r="D193" s="105"/>
      <c r="E193" s="107"/>
      <c r="F193" s="120" t="s">
        <v>1257</v>
      </c>
      <c r="G193" s="24">
        <v>510000</v>
      </c>
      <c r="H193" s="108"/>
      <c r="I193" s="225" t="s">
        <v>1311</v>
      </c>
      <c r="J193" s="62">
        <v>0</v>
      </c>
      <c r="K193" s="233">
        <f t="shared" si="2"/>
        <v>510000</v>
      </c>
      <c r="L193" s="188"/>
      <c r="M193" s="5"/>
      <c r="N193" s="81"/>
      <c r="O193" s="81"/>
      <c r="P193" s="81"/>
      <c r="Q193" s="81"/>
      <c r="R193" s="5"/>
    </row>
    <row r="194" spans="2:18" ht="18.600000000000001" customHeight="1" x14ac:dyDescent="0.3">
      <c r="B194" s="188"/>
      <c r="C194" s="104"/>
      <c r="D194" s="105"/>
      <c r="E194" s="107"/>
      <c r="F194" s="120" t="s">
        <v>1257</v>
      </c>
      <c r="G194" s="24">
        <v>420000</v>
      </c>
      <c r="H194" s="108"/>
      <c r="I194" s="225" t="s">
        <v>1364</v>
      </c>
      <c r="J194" s="62">
        <v>0</v>
      </c>
      <c r="K194" s="233">
        <f t="shared" si="2"/>
        <v>420000</v>
      </c>
      <c r="L194" s="188"/>
      <c r="M194" s="5"/>
      <c r="N194" s="81"/>
      <c r="O194" s="81"/>
      <c r="P194" s="81"/>
      <c r="Q194" s="81"/>
      <c r="R194" s="5"/>
    </row>
    <row r="195" spans="2:18" ht="18.600000000000001" customHeight="1" x14ac:dyDescent="0.3">
      <c r="B195" s="188"/>
      <c r="C195" s="104"/>
      <c r="D195" s="105"/>
      <c r="E195" s="107"/>
      <c r="F195" s="120" t="s">
        <v>111</v>
      </c>
      <c r="G195" s="24">
        <v>380000</v>
      </c>
      <c r="H195" s="108"/>
      <c r="I195" s="225" t="s">
        <v>143</v>
      </c>
      <c r="J195" s="62">
        <v>0</v>
      </c>
      <c r="K195" s="233">
        <f t="shared" si="2"/>
        <v>380000</v>
      </c>
      <c r="L195" s="188"/>
      <c r="M195" s="5"/>
      <c r="N195" s="81"/>
      <c r="O195" s="81"/>
      <c r="P195" s="81"/>
      <c r="Q195" s="81"/>
      <c r="R195" s="5"/>
    </row>
    <row r="196" spans="2:18" ht="18.600000000000001" customHeight="1" x14ac:dyDescent="0.3">
      <c r="B196" s="188"/>
      <c r="C196" s="104"/>
      <c r="D196" s="105"/>
      <c r="E196" s="107"/>
      <c r="F196" s="120" t="s">
        <v>111</v>
      </c>
      <c r="G196" s="24">
        <v>360000</v>
      </c>
      <c r="H196" s="108"/>
      <c r="I196" s="225" t="s">
        <v>102</v>
      </c>
      <c r="J196" s="62">
        <v>50000</v>
      </c>
      <c r="K196" s="233">
        <f t="shared" si="2"/>
        <v>410000</v>
      </c>
      <c r="L196" s="188"/>
      <c r="M196" s="5"/>
      <c r="N196" s="81"/>
      <c r="O196" s="81"/>
      <c r="P196" s="81"/>
      <c r="Q196" s="81"/>
      <c r="R196" s="5"/>
    </row>
    <row r="197" spans="2:18" ht="18.600000000000001" customHeight="1" x14ac:dyDescent="0.3">
      <c r="B197" s="188"/>
      <c r="C197" s="104"/>
      <c r="D197" s="105"/>
      <c r="E197" s="107"/>
      <c r="F197" s="120" t="s">
        <v>111</v>
      </c>
      <c r="G197" s="24">
        <v>320000</v>
      </c>
      <c r="H197" s="108"/>
      <c r="I197" s="225" t="s">
        <v>1130</v>
      </c>
      <c r="J197" s="62">
        <v>0</v>
      </c>
      <c r="K197" s="233">
        <f t="shared" si="2"/>
        <v>320000</v>
      </c>
      <c r="L197" s="188"/>
      <c r="M197" s="5"/>
      <c r="N197" s="81"/>
      <c r="O197" s="81"/>
      <c r="P197" s="81"/>
      <c r="Q197" s="81"/>
      <c r="R197" s="5"/>
    </row>
    <row r="198" spans="2:18" ht="18.600000000000001" customHeight="1" x14ac:dyDescent="0.3">
      <c r="B198" s="188"/>
      <c r="C198" s="104"/>
      <c r="D198" s="105"/>
      <c r="E198" s="107"/>
      <c r="F198" s="120" t="s">
        <v>111</v>
      </c>
      <c r="G198" s="24">
        <v>480000</v>
      </c>
      <c r="H198" s="108"/>
      <c r="I198" s="225" t="s">
        <v>158</v>
      </c>
      <c r="J198" s="62">
        <v>0</v>
      </c>
      <c r="K198" s="233">
        <f t="shared" si="2"/>
        <v>480000</v>
      </c>
      <c r="L198" s="188"/>
      <c r="M198" s="5"/>
      <c r="N198" s="81"/>
      <c r="O198" s="81"/>
      <c r="P198" s="81"/>
      <c r="Q198" s="81"/>
      <c r="R198" s="5"/>
    </row>
    <row r="199" spans="2:18" ht="18.600000000000001" customHeight="1" x14ac:dyDescent="0.3">
      <c r="B199" s="188"/>
      <c r="C199" s="104"/>
      <c r="D199" s="105"/>
      <c r="E199" s="107"/>
      <c r="F199" s="120" t="s">
        <v>111</v>
      </c>
      <c r="G199" s="24">
        <v>460000</v>
      </c>
      <c r="H199" s="108"/>
      <c r="I199" s="225" t="s">
        <v>159</v>
      </c>
      <c r="J199" s="62">
        <v>50000</v>
      </c>
      <c r="K199" s="233">
        <f t="shared" si="2"/>
        <v>510000</v>
      </c>
      <c r="L199" s="188"/>
      <c r="M199" s="5"/>
      <c r="N199" s="81"/>
      <c r="O199" s="81"/>
      <c r="P199" s="81"/>
      <c r="Q199" s="81"/>
      <c r="R199" s="5"/>
    </row>
    <row r="200" spans="2:18" ht="18.600000000000001" customHeight="1" x14ac:dyDescent="0.3">
      <c r="B200" s="188"/>
      <c r="C200" s="104"/>
      <c r="D200" s="105"/>
      <c r="E200" s="107"/>
      <c r="F200" s="120" t="s">
        <v>111</v>
      </c>
      <c r="G200" s="24">
        <v>420000</v>
      </c>
      <c r="H200" s="108"/>
      <c r="I200" s="225" t="s">
        <v>1136</v>
      </c>
      <c r="J200" s="62">
        <v>0</v>
      </c>
      <c r="K200" s="233">
        <f t="shared" si="2"/>
        <v>420000</v>
      </c>
      <c r="L200" s="188"/>
      <c r="M200" s="5"/>
      <c r="N200" s="81"/>
      <c r="O200" s="81"/>
      <c r="P200" s="81"/>
      <c r="Q200" s="81"/>
      <c r="R200" s="5"/>
    </row>
    <row r="201" spans="2:18" ht="18.600000000000001" customHeight="1" x14ac:dyDescent="0.3">
      <c r="B201" s="188"/>
      <c r="C201" s="104"/>
      <c r="D201" s="105"/>
      <c r="E201" s="107"/>
      <c r="F201" s="120" t="s">
        <v>111</v>
      </c>
      <c r="G201" s="24">
        <v>380000</v>
      </c>
      <c r="H201" s="108"/>
      <c r="I201" s="225" t="s">
        <v>381</v>
      </c>
      <c r="J201" s="62"/>
      <c r="K201" s="233">
        <f t="shared" si="2"/>
        <v>380000</v>
      </c>
      <c r="L201" s="188"/>
      <c r="M201" s="5"/>
      <c r="N201" s="81"/>
      <c r="O201" s="81"/>
      <c r="P201" s="81"/>
      <c r="Q201" s="81"/>
      <c r="R201" s="5"/>
    </row>
    <row r="202" spans="2:18" ht="18.600000000000001" customHeight="1" x14ac:dyDescent="0.3">
      <c r="B202" s="188"/>
      <c r="C202" s="104"/>
      <c r="D202" s="105"/>
      <c r="E202" s="107"/>
      <c r="F202" s="120" t="s">
        <v>111</v>
      </c>
      <c r="G202" s="24">
        <v>350000</v>
      </c>
      <c r="H202" s="108"/>
      <c r="I202" s="225" t="s">
        <v>1313</v>
      </c>
      <c r="J202" s="62">
        <v>0</v>
      </c>
      <c r="K202" s="233">
        <f t="shared" si="2"/>
        <v>350000</v>
      </c>
      <c r="L202" s="188"/>
      <c r="M202" s="5"/>
      <c r="N202" s="81"/>
      <c r="O202" s="81"/>
      <c r="P202" s="81"/>
      <c r="Q202" s="81"/>
      <c r="R202" s="5"/>
    </row>
    <row r="203" spans="2:18" ht="18.600000000000001" customHeight="1" x14ac:dyDescent="0.3">
      <c r="B203" s="188"/>
      <c r="C203" s="104"/>
      <c r="D203" s="105"/>
      <c r="E203" s="107"/>
      <c r="F203" s="120" t="s">
        <v>111</v>
      </c>
      <c r="G203" s="24">
        <v>510000</v>
      </c>
      <c r="H203" s="108"/>
      <c r="I203" s="225" t="s">
        <v>1311</v>
      </c>
      <c r="J203" s="62">
        <v>0</v>
      </c>
      <c r="K203" s="233">
        <f t="shared" si="2"/>
        <v>510000</v>
      </c>
      <c r="L203" s="188"/>
      <c r="M203" s="5"/>
      <c r="N203" s="81"/>
      <c r="O203" s="81"/>
      <c r="P203" s="81"/>
      <c r="Q203" s="81"/>
      <c r="R203" s="5"/>
    </row>
    <row r="204" spans="2:18" ht="18.600000000000001" customHeight="1" x14ac:dyDescent="0.3">
      <c r="B204" s="188"/>
      <c r="C204" s="104"/>
      <c r="D204" s="105"/>
      <c r="E204" s="107"/>
      <c r="F204" s="120" t="s">
        <v>111</v>
      </c>
      <c r="G204" s="24">
        <v>420000</v>
      </c>
      <c r="H204" s="108"/>
      <c r="I204" s="225" t="s">
        <v>1364</v>
      </c>
      <c r="J204" s="62">
        <v>0</v>
      </c>
      <c r="K204" s="233">
        <f t="shared" si="2"/>
        <v>420000</v>
      </c>
      <c r="L204" s="188"/>
      <c r="M204" s="5"/>
      <c r="N204" s="81"/>
      <c r="O204" s="81"/>
      <c r="P204" s="81"/>
      <c r="Q204" s="81"/>
      <c r="R204" s="5"/>
    </row>
    <row r="205" spans="2:18" ht="18.600000000000001" customHeight="1" x14ac:dyDescent="0.3">
      <c r="B205" s="188"/>
      <c r="C205" s="104"/>
      <c r="D205" s="105"/>
      <c r="E205" s="107"/>
      <c r="F205" s="120" t="s">
        <v>112</v>
      </c>
      <c r="G205" s="24">
        <v>280000</v>
      </c>
      <c r="H205" s="108"/>
      <c r="I205" s="225" t="s">
        <v>143</v>
      </c>
      <c r="J205" s="62">
        <v>0</v>
      </c>
      <c r="K205" s="233">
        <f t="shared" si="2"/>
        <v>280000</v>
      </c>
      <c r="L205" s="188"/>
      <c r="M205" s="5"/>
      <c r="N205" s="81"/>
      <c r="O205" s="81"/>
      <c r="P205" s="81"/>
      <c r="Q205" s="81"/>
      <c r="R205" s="5"/>
    </row>
    <row r="206" spans="2:18" ht="18.600000000000001" customHeight="1" x14ac:dyDescent="0.3">
      <c r="B206" s="188"/>
      <c r="C206" s="104"/>
      <c r="D206" s="105"/>
      <c r="E206" s="107"/>
      <c r="F206" s="120" t="s">
        <v>112</v>
      </c>
      <c r="G206" s="24">
        <v>360000</v>
      </c>
      <c r="H206" s="108"/>
      <c r="I206" s="225" t="s">
        <v>102</v>
      </c>
      <c r="J206" s="62">
        <v>50000</v>
      </c>
      <c r="K206" s="233">
        <f t="shared" si="2"/>
        <v>410000</v>
      </c>
      <c r="L206" s="188"/>
      <c r="M206" s="5"/>
      <c r="N206" s="81"/>
      <c r="O206" s="81"/>
      <c r="P206" s="81"/>
      <c r="Q206" s="81"/>
      <c r="R206" s="5"/>
    </row>
    <row r="207" spans="2:18" ht="18.600000000000001" customHeight="1" x14ac:dyDescent="0.3">
      <c r="B207" s="188"/>
      <c r="C207" s="104"/>
      <c r="D207" s="105"/>
      <c r="E207" s="107"/>
      <c r="F207" s="120" t="s">
        <v>112</v>
      </c>
      <c r="G207" s="24">
        <v>320000</v>
      </c>
      <c r="H207" s="108"/>
      <c r="I207" s="225" t="s">
        <v>1130</v>
      </c>
      <c r="J207" s="62">
        <v>0</v>
      </c>
      <c r="K207" s="233">
        <f t="shared" si="2"/>
        <v>320000</v>
      </c>
      <c r="L207" s="188"/>
      <c r="M207" s="5"/>
      <c r="N207" s="81"/>
      <c r="O207" s="81"/>
      <c r="P207" s="81"/>
      <c r="Q207" s="81"/>
      <c r="R207" s="5"/>
    </row>
    <row r="208" spans="2:18" ht="18.600000000000001" customHeight="1" x14ac:dyDescent="0.3">
      <c r="B208" s="188"/>
      <c r="C208" s="104"/>
      <c r="D208" s="105"/>
      <c r="E208" s="107"/>
      <c r="F208" s="120" t="s">
        <v>112</v>
      </c>
      <c r="G208" s="24">
        <v>380000</v>
      </c>
      <c r="H208" s="108"/>
      <c r="I208" s="225" t="s">
        <v>158</v>
      </c>
      <c r="J208" s="62">
        <v>0</v>
      </c>
      <c r="K208" s="233">
        <f t="shared" si="2"/>
        <v>380000</v>
      </c>
      <c r="L208" s="188"/>
      <c r="M208" s="5"/>
      <c r="N208" s="81"/>
      <c r="O208" s="81"/>
      <c r="P208" s="81"/>
      <c r="Q208" s="81"/>
      <c r="R208" s="5"/>
    </row>
    <row r="209" spans="2:18" ht="18.600000000000001" customHeight="1" x14ac:dyDescent="0.3">
      <c r="B209" s="188"/>
      <c r="C209" s="104"/>
      <c r="D209" s="105"/>
      <c r="E209" s="107"/>
      <c r="F209" s="120" t="s">
        <v>112</v>
      </c>
      <c r="G209" s="24">
        <v>460000</v>
      </c>
      <c r="H209" s="108"/>
      <c r="I209" s="225" t="s">
        <v>159</v>
      </c>
      <c r="J209" s="62">
        <v>50000</v>
      </c>
      <c r="K209" s="233">
        <f t="shared" si="2"/>
        <v>510000</v>
      </c>
      <c r="L209" s="188"/>
      <c r="M209" s="5"/>
      <c r="N209" s="81"/>
      <c r="O209" s="81"/>
      <c r="P209" s="81"/>
      <c r="Q209" s="81"/>
      <c r="R209" s="5"/>
    </row>
    <row r="210" spans="2:18" ht="18.600000000000001" customHeight="1" x14ac:dyDescent="0.3">
      <c r="B210" s="188"/>
      <c r="C210" s="104"/>
      <c r="D210" s="105"/>
      <c r="E210" s="107"/>
      <c r="F210" s="120" t="s">
        <v>112</v>
      </c>
      <c r="G210" s="24">
        <v>420000</v>
      </c>
      <c r="H210" s="108"/>
      <c r="I210" s="225" t="s">
        <v>1136</v>
      </c>
      <c r="J210" s="62">
        <v>0</v>
      </c>
      <c r="K210" s="233">
        <f t="shared" si="2"/>
        <v>420000</v>
      </c>
      <c r="L210" s="188"/>
      <c r="M210" s="5"/>
      <c r="R210" s="5"/>
    </row>
    <row r="211" spans="2:18" ht="18.600000000000001" customHeight="1" x14ac:dyDescent="0.3">
      <c r="B211" s="188"/>
      <c r="C211" s="104"/>
      <c r="D211" s="105"/>
      <c r="E211" s="107"/>
      <c r="F211" s="120" t="s">
        <v>112</v>
      </c>
      <c r="G211" s="24">
        <v>280000</v>
      </c>
      <c r="H211" s="108"/>
      <c r="I211" s="225" t="s">
        <v>381</v>
      </c>
      <c r="J211" s="62"/>
      <c r="K211" s="233">
        <f t="shared" si="2"/>
        <v>280000</v>
      </c>
      <c r="L211" s="188"/>
      <c r="M211" s="5"/>
      <c r="R211" s="5"/>
    </row>
    <row r="212" spans="2:18" ht="18.600000000000001" customHeight="1" x14ac:dyDescent="0.3">
      <c r="B212" s="188"/>
      <c r="C212" s="104"/>
      <c r="D212" s="105"/>
      <c r="E212" s="107"/>
      <c r="F212" s="120" t="s">
        <v>112</v>
      </c>
      <c r="G212" s="24">
        <v>350000</v>
      </c>
      <c r="H212" s="108"/>
      <c r="I212" s="225" t="s">
        <v>1313</v>
      </c>
      <c r="J212" s="62">
        <v>0</v>
      </c>
      <c r="K212" s="233">
        <f t="shared" si="2"/>
        <v>350000</v>
      </c>
      <c r="L212" s="188"/>
      <c r="M212" s="5"/>
      <c r="R212" s="5"/>
    </row>
    <row r="213" spans="2:18" ht="18.600000000000001" customHeight="1" x14ac:dyDescent="0.3">
      <c r="B213" s="188"/>
      <c r="C213" s="104"/>
      <c r="D213" s="105"/>
      <c r="E213" s="107"/>
      <c r="F213" s="120" t="s">
        <v>112</v>
      </c>
      <c r="G213" s="24">
        <v>510000</v>
      </c>
      <c r="H213" s="108"/>
      <c r="I213" s="225" t="s">
        <v>1311</v>
      </c>
      <c r="J213" s="62">
        <v>0</v>
      </c>
      <c r="K213" s="233">
        <f t="shared" si="2"/>
        <v>510000</v>
      </c>
      <c r="L213" s="188"/>
      <c r="M213" s="5"/>
      <c r="R213" s="5"/>
    </row>
    <row r="214" spans="2:18" ht="18.600000000000001" customHeight="1" x14ac:dyDescent="0.3">
      <c r="B214" s="188"/>
      <c r="C214" s="104"/>
      <c r="D214" s="105"/>
      <c r="E214" s="107"/>
      <c r="F214" s="120" t="s">
        <v>112</v>
      </c>
      <c r="G214" s="24">
        <v>420000</v>
      </c>
      <c r="H214" s="108"/>
      <c r="I214" s="225" t="s">
        <v>1364</v>
      </c>
      <c r="J214" s="62">
        <v>0</v>
      </c>
      <c r="K214" s="233">
        <f t="shared" si="2"/>
        <v>420000</v>
      </c>
      <c r="L214" s="188"/>
      <c r="M214" s="5"/>
      <c r="R214" s="5"/>
    </row>
    <row r="215" spans="2:18" ht="18.600000000000001" customHeight="1" x14ac:dyDescent="0.3">
      <c r="B215" s="188"/>
      <c r="C215" s="104"/>
      <c r="D215" s="105"/>
      <c r="E215" s="107"/>
      <c r="F215" s="120" t="s">
        <v>1288</v>
      </c>
      <c r="G215" s="24">
        <v>350000</v>
      </c>
      <c r="H215" s="108"/>
      <c r="I215" s="225" t="s">
        <v>1313</v>
      </c>
      <c r="J215" s="62">
        <v>0</v>
      </c>
      <c r="K215" s="233">
        <f t="shared" si="2"/>
        <v>350000</v>
      </c>
      <c r="L215" s="188"/>
      <c r="M215" s="5"/>
      <c r="R215" s="5"/>
    </row>
    <row r="216" spans="2:18" ht="18.600000000000001" customHeight="1" x14ac:dyDescent="0.3">
      <c r="B216" s="188"/>
      <c r="C216" s="104"/>
      <c r="D216" s="105"/>
      <c r="E216" s="107"/>
      <c r="F216" s="120" t="s">
        <v>1288</v>
      </c>
      <c r="G216" s="24">
        <v>510000</v>
      </c>
      <c r="H216" s="108"/>
      <c r="I216" s="225" t="s">
        <v>1311</v>
      </c>
      <c r="J216" s="62">
        <v>0</v>
      </c>
      <c r="K216" s="233">
        <f t="shared" si="2"/>
        <v>510000</v>
      </c>
      <c r="L216" s="188"/>
      <c r="M216" s="5"/>
      <c r="R216" s="5"/>
    </row>
    <row r="217" spans="2:18" ht="18.600000000000001" customHeight="1" x14ac:dyDescent="0.3">
      <c r="B217" s="188"/>
      <c r="C217" s="104"/>
      <c r="D217" s="105"/>
      <c r="E217" s="107"/>
      <c r="F217" s="120" t="s">
        <v>1288</v>
      </c>
      <c r="G217" s="24">
        <v>420000</v>
      </c>
      <c r="H217" s="108"/>
      <c r="I217" s="225" t="s">
        <v>1364</v>
      </c>
      <c r="J217" s="62">
        <v>0</v>
      </c>
      <c r="K217" s="233">
        <f t="shared" si="2"/>
        <v>420000</v>
      </c>
      <c r="L217" s="188"/>
      <c r="M217" s="5"/>
      <c r="R217" s="5"/>
    </row>
    <row r="218" spans="2:18" ht="18.600000000000001" customHeight="1" x14ac:dyDescent="0.3">
      <c r="B218" s="188"/>
      <c r="C218" s="104"/>
      <c r="D218" s="105"/>
      <c r="E218" s="107"/>
      <c r="F218" s="120" t="s">
        <v>113</v>
      </c>
      <c r="G218" s="24">
        <v>280000</v>
      </c>
      <c r="H218" s="108"/>
      <c r="I218" s="225" t="s">
        <v>143</v>
      </c>
      <c r="J218" s="62">
        <v>0</v>
      </c>
      <c r="K218" s="233">
        <f t="shared" si="2"/>
        <v>280000</v>
      </c>
      <c r="L218" s="188"/>
      <c r="M218" s="5"/>
      <c r="R218" s="5"/>
    </row>
    <row r="219" spans="2:18" ht="18.600000000000001" customHeight="1" x14ac:dyDescent="0.3">
      <c r="B219" s="188"/>
      <c r="C219" s="104"/>
      <c r="D219" s="105"/>
      <c r="E219" s="107"/>
      <c r="F219" s="120" t="s">
        <v>113</v>
      </c>
      <c r="G219" s="24">
        <v>360000</v>
      </c>
      <c r="H219" s="108"/>
      <c r="I219" s="225" t="s">
        <v>102</v>
      </c>
      <c r="J219" s="62">
        <v>0</v>
      </c>
      <c r="K219" s="233">
        <f t="shared" si="2"/>
        <v>360000</v>
      </c>
      <c r="L219" s="188"/>
      <c r="M219" s="5"/>
      <c r="R219" s="5"/>
    </row>
    <row r="220" spans="2:18" ht="18.600000000000001" customHeight="1" x14ac:dyDescent="0.3">
      <c r="B220" s="188"/>
      <c r="C220" s="104"/>
      <c r="D220" s="105"/>
      <c r="E220" s="107"/>
      <c r="F220" s="120" t="s">
        <v>113</v>
      </c>
      <c r="G220" s="24">
        <v>320000</v>
      </c>
      <c r="H220" s="108"/>
      <c r="I220" s="225" t="s">
        <v>1130</v>
      </c>
      <c r="J220" s="62">
        <v>0</v>
      </c>
      <c r="K220" s="233">
        <f t="shared" si="2"/>
        <v>320000</v>
      </c>
      <c r="L220" s="188"/>
      <c r="M220" s="5"/>
      <c r="R220" s="5"/>
    </row>
    <row r="221" spans="2:18" ht="18.600000000000001" customHeight="1" x14ac:dyDescent="0.3">
      <c r="B221" s="188"/>
      <c r="C221" s="104"/>
      <c r="D221" s="105"/>
      <c r="E221" s="107"/>
      <c r="F221" s="120" t="s">
        <v>113</v>
      </c>
      <c r="G221" s="24">
        <v>380000</v>
      </c>
      <c r="H221" s="108"/>
      <c r="I221" s="225" t="s">
        <v>158</v>
      </c>
      <c r="J221" s="62">
        <v>0</v>
      </c>
      <c r="K221" s="233">
        <f t="shared" si="2"/>
        <v>380000</v>
      </c>
      <c r="L221" s="188"/>
      <c r="M221" s="5"/>
      <c r="R221" s="5"/>
    </row>
    <row r="222" spans="2:18" ht="18.600000000000001" customHeight="1" x14ac:dyDescent="0.3">
      <c r="B222" s="188"/>
      <c r="C222" s="104"/>
      <c r="D222" s="105"/>
      <c r="E222" s="107"/>
      <c r="F222" s="120" t="s">
        <v>113</v>
      </c>
      <c r="G222" s="24">
        <v>460000</v>
      </c>
      <c r="H222" s="108"/>
      <c r="I222" s="225" t="s">
        <v>159</v>
      </c>
      <c r="J222" s="62">
        <v>0</v>
      </c>
      <c r="K222" s="233">
        <f t="shared" si="2"/>
        <v>460000</v>
      </c>
      <c r="L222" s="188"/>
      <c r="M222" s="5"/>
      <c r="R222" s="5"/>
    </row>
    <row r="223" spans="2:18" ht="18.600000000000001" customHeight="1" x14ac:dyDescent="0.3">
      <c r="B223" s="188"/>
      <c r="C223" s="104"/>
      <c r="D223" s="105"/>
      <c r="E223" s="107"/>
      <c r="F223" s="120" t="s">
        <v>113</v>
      </c>
      <c r="G223" s="24">
        <v>420000</v>
      </c>
      <c r="H223" s="108"/>
      <c r="I223" s="225" t="s">
        <v>1136</v>
      </c>
      <c r="J223" s="62">
        <v>0</v>
      </c>
      <c r="K223" s="233">
        <f t="shared" si="2"/>
        <v>420000</v>
      </c>
      <c r="L223" s="188"/>
      <c r="M223" s="5"/>
      <c r="R223" s="5"/>
    </row>
    <row r="224" spans="2:18" ht="18.600000000000001" customHeight="1" x14ac:dyDescent="0.3">
      <c r="B224" s="188"/>
      <c r="C224" s="104"/>
      <c r="D224" s="105"/>
      <c r="E224" s="107"/>
      <c r="F224" s="120" t="s">
        <v>113</v>
      </c>
      <c r="G224" s="24">
        <v>280000</v>
      </c>
      <c r="H224" s="108"/>
      <c r="I224" s="225" t="s">
        <v>381</v>
      </c>
      <c r="J224" s="62"/>
      <c r="K224" s="233">
        <f t="shared" si="2"/>
        <v>280000</v>
      </c>
      <c r="L224" s="188"/>
      <c r="M224" s="5"/>
      <c r="R224" s="5"/>
    </row>
    <row r="225" spans="2:18" ht="18.600000000000001" customHeight="1" x14ac:dyDescent="0.3">
      <c r="B225" s="188"/>
      <c r="C225" s="104"/>
      <c r="D225" s="105"/>
      <c r="E225" s="107"/>
      <c r="F225" s="120" t="s">
        <v>113</v>
      </c>
      <c r="G225" s="24">
        <v>350000</v>
      </c>
      <c r="H225" s="108"/>
      <c r="I225" s="225" t="s">
        <v>1313</v>
      </c>
      <c r="J225" s="62">
        <v>0</v>
      </c>
      <c r="K225" s="233">
        <f t="shared" si="2"/>
        <v>350000</v>
      </c>
      <c r="L225" s="188"/>
      <c r="M225" s="5"/>
      <c r="R225" s="5"/>
    </row>
    <row r="226" spans="2:18" ht="18.600000000000001" customHeight="1" x14ac:dyDescent="0.3">
      <c r="B226" s="188"/>
      <c r="C226" s="104"/>
      <c r="D226" s="105"/>
      <c r="E226" s="107"/>
      <c r="F226" s="120" t="s">
        <v>113</v>
      </c>
      <c r="G226" s="24">
        <v>510000</v>
      </c>
      <c r="H226" s="108"/>
      <c r="I226" s="225" t="s">
        <v>1311</v>
      </c>
      <c r="J226" s="62">
        <v>0</v>
      </c>
      <c r="K226" s="233">
        <f t="shared" si="2"/>
        <v>510000</v>
      </c>
      <c r="L226" s="188"/>
      <c r="M226" s="5"/>
      <c r="R226" s="5"/>
    </row>
    <row r="227" spans="2:18" ht="18.600000000000001" customHeight="1" x14ac:dyDescent="0.3">
      <c r="B227" s="188"/>
      <c r="C227" s="104"/>
      <c r="D227" s="105"/>
      <c r="E227" s="107"/>
      <c r="F227" s="120" t="s">
        <v>113</v>
      </c>
      <c r="G227" s="24">
        <v>420000</v>
      </c>
      <c r="H227" s="108"/>
      <c r="I227" s="225" t="s">
        <v>1364</v>
      </c>
      <c r="J227" s="62">
        <v>0</v>
      </c>
      <c r="K227" s="233">
        <f t="shared" ref="K227:K306" si="3">G227+J227</f>
        <v>420000</v>
      </c>
      <c r="L227" s="188"/>
      <c r="M227" s="5"/>
      <c r="R227" s="5"/>
    </row>
    <row r="228" spans="2:18" ht="18.600000000000001" customHeight="1" x14ac:dyDescent="0.3">
      <c r="B228" s="188"/>
      <c r="C228" s="104"/>
      <c r="D228" s="105"/>
      <c r="E228" s="65"/>
      <c r="F228" s="120" t="s">
        <v>1162</v>
      </c>
      <c r="G228" s="24">
        <v>280000</v>
      </c>
      <c r="H228" s="106"/>
      <c r="I228" s="225" t="s">
        <v>143</v>
      </c>
      <c r="J228" s="62">
        <v>0</v>
      </c>
      <c r="K228" s="233">
        <f t="shared" si="3"/>
        <v>280000</v>
      </c>
      <c r="L228" s="188"/>
      <c r="M228" s="5"/>
      <c r="R228" s="5"/>
    </row>
    <row r="229" spans="2:18" ht="18.600000000000001" customHeight="1" x14ac:dyDescent="0.3">
      <c r="B229" s="188"/>
      <c r="C229" s="104"/>
      <c r="D229" s="105"/>
      <c r="E229" s="65"/>
      <c r="F229" s="120" t="s">
        <v>1162</v>
      </c>
      <c r="G229" s="24">
        <v>360000</v>
      </c>
      <c r="H229" s="106"/>
      <c r="I229" s="225" t="s">
        <v>102</v>
      </c>
      <c r="J229" s="62">
        <v>0</v>
      </c>
      <c r="K229" s="233">
        <f t="shared" si="3"/>
        <v>360000</v>
      </c>
      <c r="L229" s="188"/>
      <c r="M229" s="80"/>
    </row>
    <row r="230" spans="2:18" ht="18.600000000000001" customHeight="1" x14ac:dyDescent="0.3">
      <c r="B230" s="188"/>
      <c r="C230" s="104"/>
      <c r="D230" s="105"/>
      <c r="E230" s="65"/>
      <c r="F230" s="120" t="s">
        <v>1162</v>
      </c>
      <c r="G230" s="24">
        <v>320000</v>
      </c>
      <c r="H230" s="106"/>
      <c r="I230" s="225" t="s">
        <v>1130</v>
      </c>
      <c r="J230" s="62">
        <v>0</v>
      </c>
      <c r="K230" s="233">
        <f t="shared" si="3"/>
        <v>320000</v>
      </c>
      <c r="L230" s="188"/>
      <c r="M230" s="80"/>
    </row>
    <row r="231" spans="2:18" ht="18.600000000000001" customHeight="1" x14ac:dyDescent="0.3">
      <c r="B231" s="188"/>
      <c r="C231" s="104"/>
      <c r="D231" s="105"/>
      <c r="E231" s="65"/>
      <c r="F231" s="120" t="s">
        <v>1162</v>
      </c>
      <c r="G231" s="24">
        <v>380000</v>
      </c>
      <c r="H231" s="106"/>
      <c r="I231" s="225" t="s">
        <v>158</v>
      </c>
      <c r="J231" s="62">
        <v>0</v>
      </c>
      <c r="K231" s="233">
        <f t="shared" si="3"/>
        <v>380000</v>
      </c>
      <c r="L231" s="188"/>
      <c r="M231" s="80"/>
    </row>
    <row r="232" spans="2:18" ht="18.600000000000001" customHeight="1" x14ac:dyDescent="0.3">
      <c r="B232" s="188"/>
      <c r="C232" s="104"/>
      <c r="D232" s="105"/>
      <c r="E232" s="65"/>
      <c r="F232" s="120" t="s">
        <v>1162</v>
      </c>
      <c r="G232" s="24">
        <v>460000</v>
      </c>
      <c r="H232" s="106"/>
      <c r="I232" s="225" t="s">
        <v>159</v>
      </c>
      <c r="J232" s="62">
        <v>0</v>
      </c>
      <c r="K232" s="233">
        <f t="shared" si="3"/>
        <v>460000</v>
      </c>
      <c r="L232" s="188"/>
      <c r="M232" s="80"/>
    </row>
    <row r="233" spans="2:18" ht="18.600000000000001" customHeight="1" x14ac:dyDescent="0.3">
      <c r="B233" s="188"/>
      <c r="C233" s="104"/>
      <c r="D233" s="105"/>
      <c r="E233" s="65"/>
      <c r="F233" s="120" t="s">
        <v>1162</v>
      </c>
      <c r="G233" s="24">
        <v>420000</v>
      </c>
      <c r="H233" s="106"/>
      <c r="I233" s="225" t="s">
        <v>1136</v>
      </c>
      <c r="J233" s="62">
        <v>0</v>
      </c>
      <c r="K233" s="233">
        <f t="shared" si="3"/>
        <v>420000</v>
      </c>
      <c r="L233" s="188"/>
      <c r="M233" s="80"/>
    </row>
    <row r="234" spans="2:18" ht="18.600000000000001" customHeight="1" x14ac:dyDescent="0.3">
      <c r="B234" s="188"/>
      <c r="C234" s="104"/>
      <c r="D234" s="105"/>
      <c r="E234" s="65"/>
      <c r="F234" s="120" t="s">
        <v>1162</v>
      </c>
      <c r="G234" s="24">
        <v>280000</v>
      </c>
      <c r="H234" s="106"/>
      <c r="I234" s="225" t="s">
        <v>381</v>
      </c>
      <c r="J234" s="62"/>
      <c r="K234" s="233">
        <f t="shared" si="3"/>
        <v>280000</v>
      </c>
      <c r="L234" s="188"/>
      <c r="M234" s="80"/>
    </row>
    <row r="235" spans="2:18" ht="18.600000000000001" customHeight="1" x14ac:dyDescent="0.3">
      <c r="B235" s="188"/>
      <c r="C235" s="104"/>
      <c r="D235" s="105"/>
      <c r="E235" s="65"/>
      <c r="F235" s="120" t="s">
        <v>132</v>
      </c>
      <c r="G235" s="24">
        <v>380000</v>
      </c>
      <c r="H235" s="106"/>
      <c r="I235" s="225" t="s">
        <v>143</v>
      </c>
      <c r="J235" s="62">
        <v>0</v>
      </c>
      <c r="K235" s="233">
        <f t="shared" si="3"/>
        <v>380000</v>
      </c>
      <c r="L235" s="188"/>
      <c r="M235" s="80"/>
    </row>
    <row r="236" spans="2:18" ht="18.600000000000001" customHeight="1" x14ac:dyDescent="0.3">
      <c r="B236" s="188"/>
      <c r="C236" s="104"/>
      <c r="D236" s="105"/>
      <c r="E236" s="65"/>
      <c r="F236" s="120" t="s">
        <v>132</v>
      </c>
      <c r="G236" s="24">
        <v>360000</v>
      </c>
      <c r="H236" s="106"/>
      <c r="I236" s="225" t="s">
        <v>102</v>
      </c>
      <c r="J236" s="62">
        <v>0</v>
      </c>
      <c r="K236" s="233">
        <f t="shared" si="3"/>
        <v>360000</v>
      </c>
      <c r="L236" s="188"/>
      <c r="M236" s="80"/>
    </row>
    <row r="237" spans="2:18" ht="18.600000000000001" customHeight="1" x14ac:dyDescent="0.3">
      <c r="B237" s="188"/>
      <c r="C237" s="104"/>
      <c r="D237" s="105"/>
      <c r="E237" s="65"/>
      <c r="F237" s="120" t="s">
        <v>132</v>
      </c>
      <c r="G237" s="24">
        <v>320000</v>
      </c>
      <c r="H237" s="106"/>
      <c r="I237" s="225" t="s">
        <v>1130</v>
      </c>
      <c r="J237" s="62">
        <v>0</v>
      </c>
      <c r="K237" s="233">
        <f t="shared" si="3"/>
        <v>320000</v>
      </c>
      <c r="L237" s="188"/>
      <c r="M237" s="80"/>
    </row>
    <row r="238" spans="2:18" ht="18.600000000000001" customHeight="1" x14ac:dyDescent="0.3">
      <c r="B238" s="188"/>
      <c r="C238" s="104"/>
      <c r="D238" s="105"/>
      <c r="E238" s="65"/>
      <c r="F238" s="120" t="s">
        <v>132</v>
      </c>
      <c r="G238" s="24">
        <v>480000</v>
      </c>
      <c r="H238" s="106"/>
      <c r="I238" s="225" t="s">
        <v>158</v>
      </c>
      <c r="J238" s="62">
        <v>0</v>
      </c>
      <c r="K238" s="233">
        <f t="shared" si="3"/>
        <v>480000</v>
      </c>
      <c r="L238" s="188"/>
      <c r="M238" s="80"/>
    </row>
    <row r="239" spans="2:18" ht="18.600000000000001" customHeight="1" x14ac:dyDescent="0.3">
      <c r="B239" s="188"/>
      <c r="C239" s="104"/>
      <c r="D239" s="105"/>
      <c r="E239" s="65"/>
      <c r="F239" s="120" t="s">
        <v>132</v>
      </c>
      <c r="G239" s="24">
        <v>460000</v>
      </c>
      <c r="H239" s="106"/>
      <c r="I239" s="225" t="s">
        <v>159</v>
      </c>
      <c r="J239" s="62">
        <v>0</v>
      </c>
      <c r="K239" s="233">
        <f t="shared" si="3"/>
        <v>460000</v>
      </c>
      <c r="L239" s="188"/>
      <c r="M239" s="80"/>
    </row>
    <row r="240" spans="2:18" ht="18.600000000000001" customHeight="1" x14ac:dyDescent="0.3">
      <c r="B240" s="188"/>
      <c r="C240" s="104"/>
      <c r="D240" s="105"/>
      <c r="E240" s="65"/>
      <c r="F240" s="120" t="s">
        <v>132</v>
      </c>
      <c r="G240" s="24">
        <v>420000</v>
      </c>
      <c r="H240" s="106"/>
      <c r="I240" s="225" t="s">
        <v>1136</v>
      </c>
      <c r="J240" s="62">
        <v>0</v>
      </c>
      <c r="K240" s="233">
        <f t="shared" si="3"/>
        <v>420000</v>
      </c>
      <c r="L240" s="188"/>
      <c r="M240" s="80"/>
    </row>
    <row r="241" spans="2:13" ht="18.600000000000001" customHeight="1" x14ac:dyDescent="0.3">
      <c r="B241" s="188"/>
      <c r="C241" s="104"/>
      <c r="D241" s="105"/>
      <c r="E241" s="65"/>
      <c r="F241" s="120" t="s">
        <v>104</v>
      </c>
      <c r="G241" s="24">
        <v>280000</v>
      </c>
      <c r="H241" s="106"/>
      <c r="I241" s="225" t="s">
        <v>143</v>
      </c>
      <c r="J241" s="62">
        <v>0</v>
      </c>
      <c r="K241" s="233">
        <f t="shared" si="3"/>
        <v>280000</v>
      </c>
      <c r="L241" s="188"/>
      <c r="M241" s="80"/>
    </row>
    <row r="242" spans="2:13" ht="18.600000000000001" customHeight="1" x14ac:dyDescent="0.3">
      <c r="B242" s="188"/>
      <c r="C242" s="104"/>
      <c r="D242" s="105"/>
      <c r="E242" s="65"/>
      <c r="F242" s="120" t="s">
        <v>104</v>
      </c>
      <c r="G242" s="24">
        <v>360000</v>
      </c>
      <c r="H242" s="106"/>
      <c r="I242" s="225" t="s">
        <v>102</v>
      </c>
      <c r="J242" s="62">
        <v>50000</v>
      </c>
      <c r="K242" s="233">
        <f t="shared" si="3"/>
        <v>410000</v>
      </c>
      <c r="L242" s="188"/>
      <c r="M242" s="80"/>
    </row>
    <row r="243" spans="2:13" ht="18.600000000000001" customHeight="1" x14ac:dyDescent="0.3">
      <c r="B243" s="188"/>
      <c r="C243" s="104"/>
      <c r="D243" s="105"/>
      <c r="E243" s="65"/>
      <c r="F243" s="120" t="s">
        <v>104</v>
      </c>
      <c r="G243" s="24">
        <v>320000</v>
      </c>
      <c r="H243" s="106"/>
      <c r="I243" s="225" t="s">
        <v>1130</v>
      </c>
      <c r="J243" s="62">
        <v>0</v>
      </c>
      <c r="K243" s="233">
        <f t="shared" si="3"/>
        <v>320000</v>
      </c>
      <c r="L243" s="188"/>
      <c r="M243" s="80"/>
    </row>
    <row r="244" spans="2:13" ht="18.600000000000001" customHeight="1" x14ac:dyDescent="0.3">
      <c r="B244" s="188"/>
      <c r="C244" s="104"/>
      <c r="D244" s="105"/>
      <c r="E244" s="65"/>
      <c r="F244" s="120" t="s">
        <v>104</v>
      </c>
      <c r="G244" s="24">
        <v>380000</v>
      </c>
      <c r="H244" s="106"/>
      <c r="I244" s="225" t="s">
        <v>158</v>
      </c>
      <c r="J244" s="62">
        <v>0</v>
      </c>
      <c r="K244" s="233">
        <f t="shared" si="3"/>
        <v>380000</v>
      </c>
      <c r="L244" s="188"/>
      <c r="M244" s="80"/>
    </row>
    <row r="245" spans="2:13" ht="18.600000000000001" customHeight="1" x14ac:dyDescent="0.3">
      <c r="B245" s="188"/>
      <c r="C245" s="104"/>
      <c r="D245" s="105"/>
      <c r="E245" s="65"/>
      <c r="F245" s="120" t="s">
        <v>104</v>
      </c>
      <c r="G245" s="24">
        <v>460000</v>
      </c>
      <c r="H245" s="106"/>
      <c r="I245" s="225" t="s">
        <v>159</v>
      </c>
      <c r="J245" s="62">
        <v>50000</v>
      </c>
      <c r="K245" s="233">
        <f t="shared" si="3"/>
        <v>510000</v>
      </c>
      <c r="L245" s="188"/>
      <c r="M245" s="80"/>
    </row>
    <row r="246" spans="2:13" ht="18.600000000000001" customHeight="1" x14ac:dyDescent="0.3">
      <c r="B246" s="188"/>
      <c r="C246" s="104"/>
      <c r="D246" s="105"/>
      <c r="E246" s="65"/>
      <c r="F246" s="120" t="s">
        <v>104</v>
      </c>
      <c r="G246" s="24">
        <v>420000</v>
      </c>
      <c r="H246" s="106"/>
      <c r="I246" s="225" t="s">
        <v>1136</v>
      </c>
      <c r="J246" s="62">
        <v>0</v>
      </c>
      <c r="K246" s="233">
        <f t="shared" si="3"/>
        <v>420000</v>
      </c>
      <c r="L246" s="188"/>
      <c r="M246" s="80"/>
    </row>
    <row r="247" spans="2:13" ht="18.600000000000001" customHeight="1" x14ac:dyDescent="0.3">
      <c r="B247" s="188"/>
      <c r="C247" s="104"/>
      <c r="D247" s="105"/>
      <c r="E247" s="65"/>
      <c r="F247" s="120" t="s">
        <v>134</v>
      </c>
      <c r="G247" s="24">
        <v>280000</v>
      </c>
      <c r="H247" s="106"/>
      <c r="I247" s="225" t="s">
        <v>143</v>
      </c>
      <c r="J247" s="62">
        <v>0</v>
      </c>
      <c r="K247" s="233">
        <f t="shared" si="3"/>
        <v>280000</v>
      </c>
      <c r="L247" s="188"/>
      <c r="M247" s="80"/>
    </row>
    <row r="248" spans="2:13" ht="18.600000000000001" customHeight="1" x14ac:dyDescent="0.3">
      <c r="B248" s="188"/>
      <c r="C248" s="104"/>
      <c r="D248" s="105"/>
      <c r="E248" s="65"/>
      <c r="F248" s="120" t="s">
        <v>134</v>
      </c>
      <c r="G248" s="24">
        <v>360000</v>
      </c>
      <c r="H248" s="106"/>
      <c r="I248" s="225" t="s">
        <v>102</v>
      </c>
      <c r="J248" s="62">
        <v>0</v>
      </c>
      <c r="K248" s="233">
        <f t="shared" si="3"/>
        <v>360000</v>
      </c>
      <c r="L248" s="188"/>
      <c r="M248" s="80"/>
    </row>
    <row r="249" spans="2:13" ht="18.600000000000001" customHeight="1" x14ac:dyDescent="0.3">
      <c r="B249" s="188"/>
      <c r="C249" s="104"/>
      <c r="D249" s="105"/>
      <c r="E249" s="65"/>
      <c r="F249" s="120" t="s">
        <v>134</v>
      </c>
      <c r="G249" s="24">
        <v>320000</v>
      </c>
      <c r="H249" s="106"/>
      <c r="I249" s="225" t="s">
        <v>1130</v>
      </c>
      <c r="J249" s="62">
        <v>0</v>
      </c>
      <c r="K249" s="233">
        <f t="shared" si="3"/>
        <v>320000</v>
      </c>
      <c r="L249" s="188"/>
      <c r="M249" s="80"/>
    </row>
    <row r="250" spans="2:13" ht="18.600000000000001" customHeight="1" x14ac:dyDescent="0.3">
      <c r="B250" s="188"/>
      <c r="C250" s="104"/>
      <c r="D250" s="105"/>
      <c r="E250" s="65"/>
      <c r="F250" s="120" t="s">
        <v>134</v>
      </c>
      <c r="G250" s="24">
        <v>380000</v>
      </c>
      <c r="H250" s="106"/>
      <c r="I250" s="225" t="s">
        <v>158</v>
      </c>
      <c r="J250" s="62">
        <v>0</v>
      </c>
      <c r="K250" s="233">
        <f t="shared" si="3"/>
        <v>380000</v>
      </c>
      <c r="L250" s="188"/>
      <c r="M250" s="80"/>
    </row>
    <row r="251" spans="2:13" ht="18.600000000000001" customHeight="1" x14ac:dyDescent="0.3">
      <c r="B251" s="188"/>
      <c r="C251" s="104"/>
      <c r="D251" s="105"/>
      <c r="E251" s="65"/>
      <c r="F251" s="120" t="s">
        <v>134</v>
      </c>
      <c r="G251" s="24">
        <v>460000</v>
      </c>
      <c r="H251" s="106"/>
      <c r="I251" s="225" t="s">
        <v>159</v>
      </c>
      <c r="J251" s="62">
        <v>0</v>
      </c>
      <c r="K251" s="233">
        <f t="shared" si="3"/>
        <v>460000</v>
      </c>
      <c r="L251" s="188"/>
      <c r="M251" s="80"/>
    </row>
    <row r="252" spans="2:13" ht="18.600000000000001" customHeight="1" x14ac:dyDescent="0.3">
      <c r="B252" s="188"/>
      <c r="C252" s="104"/>
      <c r="D252" s="105"/>
      <c r="E252" s="65"/>
      <c r="F252" s="120" t="s">
        <v>134</v>
      </c>
      <c r="G252" s="24">
        <v>420000</v>
      </c>
      <c r="H252" s="106"/>
      <c r="I252" s="225" t="s">
        <v>1136</v>
      </c>
      <c r="J252" s="62">
        <v>0</v>
      </c>
      <c r="K252" s="233">
        <f t="shared" si="3"/>
        <v>420000</v>
      </c>
      <c r="L252" s="188"/>
      <c r="M252" s="80"/>
    </row>
    <row r="253" spans="2:13" ht="18.600000000000001" customHeight="1" x14ac:dyDescent="0.3">
      <c r="B253" s="188"/>
      <c r="C253" s="104"/>
      <c r="D253" s="105"/>
      <c r="E253" s="65"/>
      <c r="F253" s="120" t="s">
        <v>145</v>
      </c>
      <c r="G253" s="24">
        <v>430000</v>
      </c>
      <c r="H253" s="106"/>
      <c r="I253" s="225" t="s">
        <v>143</v>
      </c>
      <c r="J253" s="62">
        <v>0</v>
      </c>
      <c r="K253" s="233">
        <f t="shared" si="3"/>
        <v>430000</v>
      </c>
      <c r="L253" s="188"/>
      <c r="M253" s="80"/>
    </row>
    <row r="254" spans="2:13" ht="18.600000000000001" customHeight="1" x14ac:dyDescent="0.3">
      <c r="B254" s="188"/>
      <c r="C254" s="104"/>
      <c r="D254" s="105"/>
      <c r="E254" s="65"/>
      <c r="F254" s="120" t="s">
        <v>145</v>
      </c>
      <c r="G254" s="24">
        <v>360000</v>
      </c>
      <c r="H254" s="106"/>
      <c r="I254" s="225" t="s">
        <v>102</v>
      </c>
      <c r="J254" s="62">
        <v>0</v>
      </c>
      <c r="K254" s="233">
        <f t="shared" si="3"/>
        <v>360000</v>
      </c>
      <c r="L254" s="188"/>
      <c r="M254" s="80"/>
    </row>
    <row r="255" spans="2:13" ht="18.600000000000001" customHeight="1" x14ac:dyDescent="0.3">
      <c r="B255" s="188"/>
      <c r="C255" s="104"/>
      <c r="D255" s="105"/>
      <c r="E255" s="65"/>
      <c r="F255" s="120" t="s">
        <v>145</v>
      </c>
      <c r="G255" s="24">
        <v>200000</v>
      </c>
      <c r="H255" s="106"/>
      <c r="I255" s="225" t="s">
        <v>1130</v>
      </c>
      <c r="J255" s="62">
        <v>0</v>
      </c>
      <c r="K255" s="233">
        <f t="shared" si="3"/>
        <v>200000</v>
      </c>
      <c r="L255" s="188"/>
      <c r="M255" s="80"/>
    </row>
    <row r="256" spans="2:13" ht="18.600000000000001" customHeight="1" x14ac:dyDescent="0.3">
      <c r="B256" s="188"/>
      <c r="C256" s="104"/>
      <c r="D256" s="105"/>
      <c r="E256" s="65"/>
      <c r="F256" s="120" t="s">
        <v>145</v>
      </c>
      <c r="G256" s="24">
        <v>530000</v>
      </c>
      <c r="H256" s="106"/>
      <c r="I256" s="225" t="s">
        <v>158</v>
      </c>
      <c r="J256" s="62">
        <v>0</v>
      </c>
      <c r="K256" s="233">
        <f t="shared" si="3"/>
        <v>530000</v>
      </c>
      <c r="L256" s="188"/>
      <c r="M256" s="80"/>
    </row>
    <row r="257" spans="2:13" ht="18.600000000000001" customHeight="1" x14ac:dyDescent="0.3">
      <c r="B257" s="188"/>
      <c r="C257" s="104"/>
      <c r="D257" s="105"/>
      <c r="E257" s="65"/>
      <c r="F257" s="120" t="s">
        <v>145</v>
      </c>
      <c r="G257" s="24">
        <v>460000</v>
      </c>
      <c r="H257" s="106"/>
      <c r="I257" s="225" t="s">
        <v>159</v>
      </c>
      <c r="J257" s="62">
        <v>0</v>
      </c>
      <c r="K257" s="233">
        <f t="shared" si="3"/>
        <v>460000</v>
      </c>
      <c r="L257" s="188"/>
      <c r="M257" s="80"/>
    </row>
    <row r="258" spans="2:13" ht="18.600000000000001" customHeight="1" x14ac:dyDescent="0.3">
      <c r="B258" s="188"/>
      <c r="C258" s="104"/>
      <c r="D258" s="105"/>
      <c r="E258" s="65"/>
      <c r="F258" s="120" t="s">
        <v>145</v>
      </c>
      <c r="G258" s="24">
        <v>300000</v>
      </c>
      <c r="H258" s="106"/>
      <c r="I258" s="225" t="s">
        <v>1136</v>
      </c>
      <c r="J258" s="62">
        <v>0</v>
      </c>
      <c r="K258" s="233">
        <f t="shared" si="3"/>
        <v>300000</v>
      </c>
      <c r="L258" s="188"/>
      <c r="M258" s="80"/>
    </row>
    <row r="259" spans="2:13" ht="18.600000000000001" customHeight="1" x14ac:dyDescent="0.3">
      <c r="B259" s="188"/>
      <c r="C259" s="104"/>
      <c r="D259" s="105"/>
      <c r="E259" s="65"/>
      <c r="F259" s="120" t="s">
        <v>146</v>
      </c>
      <c r="G259" s="24">
        <v>430000</v>
      </c>
      <c r="H259" s="106"/>
      <c r="I259" s="225" t="s">
        <v>143</v>
      </c>
      <c r="J259" s="62">
        <v>0</v>
      </c>
      <c r="K259" s="233">
        <f t="shared" si="3"/>
        <v>430000</v>
      </c>
      <c r="L259" s="188"/>
      <c r="M259" s="80"/>
    </row>
    <row r="260" spans="2:13" ht="18.600000000000001" customHeight="1" x14ac:dyDescent="0.3">
      <c r="B260" s="188"/>
      <c r="C260" s="104"/>
      <c r="D260" s="105"/>
      <c r="E260" s="65"/>
      <c r="F260" s="120" t="s">
        <v>146</v>
      </c>
      <c r="G260" s="24">
        <v>360000</v>
      </c>
      <c r="H260" s="106"/>
      <c r="I260" s="225" t="s">
        <v>102</v>
      </c>
      <c r="J260" s="62">
        <v>0</v>
      </c>
      <c r="K260" s="233">
        <f t="shared" si="3"/>
        <v>360000</v>
      </c>
      <c r="L260" s="188"/>
      <c r="M260" s="80"/>
    </row>
    <row r="261" spans="2:13" ht="18.600000000000001" customHeight="1" x14ac:dyDescent="0.3">
      <c r="B261" s="188"/>
      <c r="C261" s="104"/>
      <c r="D261" s="105"/>
      <c r="E261" s="65"/>
      <c r="F261" s="120" t="s">
        <v>146</v>
      </c>
      <c r="G261" s="24">
        <v>200000</v>
      </c>
      <c r="H261" s="106"/>
      <c r="I261" s="225" t="s">
        <v>1130</v>
      </c>
      <c r="J261" s="62">
        <v>0</v>
      </c>
      <c r="K261" s="233">
        <f t="shared" si="3"/>
        <v>200000</v>
      </c>
      <c r="L261" s="188"/>
      <c r="M261" s="80"/>
    </row>
    <row r="262" spans="2:13" ht="18.600000000000001" customHeight="1" x14ac:dyDescent="0.3">
      <c r="B262" s="188"/>
      <c r="C262" s="104"/>
      <c r="D262" s="105"/>
      <c r="E262" s="65"/>
      <c r="F262" s="120" t="s">
        <v>146</v>
      </c>
      <c r="G262" s="24">
        <v>530000</v>
      </c>
      <c r="H262" s="106"/>
      <c r="I262" s="225" t="s">
        <v>158</v>
      </c>
      <c r="J262" s="62">
        <v>0</v>
      </c>
      <c r="K262" s="233">
        <f t="shared" si="3"/>
        <v>530000</v>
      </c>
      <c r="L262" s="188"/>
      <c r="M262" s="80"/>
    </row>
    <row r="263" spans="2:13" ht="18.600000000000001" customHeight="1" x14ac:dyDescent="0.3">
      <c r="B263" s="188"/>
      <c r="C263" s="104"/>
      <c r="D263" s="105"/>
      <c r="E263" s="65"/>
      <c r="F263" s="120" t="s">
        <v>146</v>
      </c>
      <c r="G263" s="24">
        <v>460000</v>
      </c>
      <c r="H263" s="106"/>
      <c r="I263" s="225" t="s">
        <v>159</v>
      </c>
      <c r="J263" s="62">
        <v>0</v>
      </c>
      <c r="K263" s="233">
        <f t="shared" si="3"/>
        <v>460000</v>
      </c>
      <c r="L263" s="188"/>
      <c r="M263" s="80"/>
    </row>
    <row r="264" spans="2:13" ht="18.600000000000001" customHeight="1" x14ac:dyDescent="0.3">
      <c r="B264" s="188"/>
      <c r="C264" s="104"/>
      <c r="D264" s="105"/>
      <c r="E264" s="65"/>
      <c r="F264" s="120" t="s">
        <v>146</v>
      </c>
      <c r="G264" s="24">
        <v>300000</v>
      </c>
      <c r="H264" s="106"/>
      <c r="I264" s="225" t="s">
        <v>1136</v>
      </c>
      <c r="J264" s="62">
        <v>0</v>
      </c>
      <c r="K264" s="233">
        <f t="shared" si="3"/>
        <v>300000</v>
      </c>
      <c r="L264" s="188"/>
      <c r="M264" s="80"/>
    </row>
    <row r="265" spans="2:13" ht="18.600000000000001" customHeight="1" x14ac:dyDescent="0.3">
      <c r="B265" s="188"/>
      <c r="C265" s="104"/>
      <c r="D265" s="105"/>
      <c r="E265" s="65"/>
      <c r="F265" s="120" t="s">
        <v>155</v>
      </c>
      <c r="G265" s="24">
        <v>380000</v>
      </c>
      <c r="H265" s="106"/>
      <c r="I265" s="225" t="s">
        <v>143</v>
      </c>
      <c r="J265" s="62">
        <v>0</v>
      </c>
      <c r="K265" s="233">
        <f t="shared" si="3"/>
        <v>380000</v>
      </c>
      <c r="L265" s="188"/>
      <c r="M265" s="80"/>
    </row>
    <row r="266" spans="2:13" ht="18.600000000000001" customHeight="1" x14ac:dyDescent="0.3">
      <c r="B266" s="188"/>
      <c r="C266" s="104"/>
      <c r="D266" s="105"/>
      <c r="E266" s="65"/>
      <c r="F266" s="120" t="s">
        <v>155</v>
      </c>
      <c r="G266" s="24">
        <v>360000</v>
      </c>
      <c r="H266" s="106"/>
      <c r="I266" s="225" t="s">
        <v>102</v>
      </c>
      <c r="J266" s="62">
        <v>0</v>
      </c>
      <c r="K266" s="233">
        <f t="shared" si="3"/>
        <v>360000</v>
      </c>
      <c r="L266" s="188"/>
      <c r="M266" s="80"/>
    </row>
    <row r="267" spans="2:13" ht="18.600000000000001" customHeight="1" x14ac:dyDescent="0.3">
      <c r="B267" s="188"/>
      <c r="C267" s="104"/>
      <c r="D267" s="105"/>
      <c r="E267" s="65"/>
      <c r="F267" s="120" t="s">
        <v>155</v>
      </c>
      <c r="G267" s="24">
        <v>320000</v>
      </c>
      <c r="H267" s="106"/>
      <c r="I267" s="225" t="s">
        <v>1130</v>
      </c>
      <c r="J267" s="62">
        <v>0</v>
      </c>
      <c r="K267" s="233">
        <f t="shared" si="3"/>
        <v>320000</v>
      </c>
      <c r="L267" s="188"/>
      <c r="M267" s="80"/>
    </row>
    <row r="268" spans="2:13" ht="18.600000000000001" customHeight="1" x14ac:dyDescent="0.3">
      <c r="B268" s="188"/>
      <c r="C268" s="104"/>
      <c r="D268" s="105"/>
      <c r="E268" s="65"/>
      <c r="F268" s="120" t="s">
        <v>155</v>
      </c>
      <c r="G268" s="24">
        <v>480000</v>
      </c>
      <c r="H268" s="106"/>
      <c r="I268" s="225" t="s">
        <v>158</v>
      </c>
      <c r="J268" s="62">
        <v>0</v>
      </c>
      <c r="K268" s="233">
        <f t="shared" si="3"/>
        <v>480000</v>
      </c>
      <c r="L268" s="188"/>
      <c r="M268" s="80"/>
    </row>
    <row r="269" spans="2:13" ht="18.600000000000001" customHeight="1" x14ac:dyDescent="0.3">
      <c r="B269" s="188"/>
      <c r="C269" s="104"/>
      <c r="D269" s="105"/>
      <c r="E269" s="65"/>
      <c r="F269" s="120" t="s">
        <v>155</v>
      </c>
      <c r="G269" s="24">
        <v>460000</v>
      </c>
      <c r="H269" s="106"/>
      <c r="I269" s="225" t="s">
        <v>159</v>
      </c>
      <c r="J269" s="62">
        <v>0</v>
      </c>
      <c r="K269" s="233">
        <f t="shared" si="3"/>
        <v>460000</v>
      </c>
      <c r="L269" s="188"/>
      <c r="M269" s="80"/>
    </row>
    <row r="270" spans="2:13" ht="18.600000000000001" customHeight="1" x14ac:dyDescent="0.3">
      <c r="B270" s="188"/>
      <c r="C270" s="104"/>
      <c r="D270" s="105"/>
      <c r="E270" s="65"/>
      <c r="F270" s="120" t="s">
        <v>155</v>
      </c>
      <c r="G270" s="24">
        <v>420000</v>
      </c>
      <c r="H270" s="106"/>
      <c r="I270" s="225" t="s">
        <v>1136</v>
      </c>
      <c r="J270" s="62">
        <v>0</v>
      </c>
      <c r="K270" s="233">
        <f t="shared" si="3"/>
        <v>420000</v>
      </c>
      <c r="L270" s="188"/>
      <c r="M270" s="80"/>
    </row>
    <row r="271" spans="2:13" ht="18.600000000000001" customHeight="1" x14ac:dyDescent="0.3">
      <c r="B271" s="188"/>
      <c r="C271" s="104"/>
      <c r="D271" s="105"/>
      <c r="E271" s="65"/>
      <c r="F271" s="120" t="s">
        <v>155</v>
      </c>
      <c r="G271" s="24">
        <v>380000</v>
      </c>
      <c r="H271" s="106"/>
      <c r="I271" s="225" t="s">
        <v>381</v>
      </c>
      <c r="J271" s="62"/>
      <c r="K271" s="233">
        <f t="shared" si="3"/>
        <v>380000</v>
      </c>
      <c r="L271" s="188"/>
      <c r="M271" s="80"/>
    </row>
    <row r="272" spans="2:13" ht="18.600000000000001" customHeight="1" x14ac:dyDescent="0.3">
      <c r="B272" s="188"/>
      <c r="C272" s="104"/>
      <c r="D272" s="105"/>
      <c r="E272" s="65"/>
      <c r="F272" s="120" t="s">
        <v>155</v>
      </c>
      <c r="G272" s="24">
        <v>150000</v>
      </c>
      <c r="H272" s="106"/>
      <c r="I272" s="225" t="s">
        <v>1313</v>
      </c>
      <c r="J272" s="62">
        <v>0</v>
      </c>
      <c r="K272" s="233">
        <f t="shared" si="3"/>
        <v>150000</v>
      </c>
      <c r="L272" s="188"/>
      <c r="M272" s="80"/>
    </row>
    <row r="273" spans="2:13" ht="18.600000000000001" customHeight="1" x14ac:dyDescent="0.3">
      <c r="B273" s="188"/>
      <c r="C273" s="104"/>
      <c r="D273" s="105"/>
      <c r="E273" s="65"/>
      <c r="F273" s="120" t="s">
        <v>155</v>
      </c>
      <c r="G273" s="24">
        <v>310000</v>
      </c>
      <c r="H273" s="106"/>
      <c r="I273" s="225" t="s">
        <v>1311</v>
      </c>
      <c r="J273" s="62">
        <v>0</v>
      </c>
      <c r="K273" s="233">
        <f t="shared" si="3"/>
        <v>310000</v>
      </c>
      <c r="L273" s="188"/>
      <c r="M273" s="80"/>
    </row>
    <row r="274" spans="2:13" ht="18.600000000000001" customHeight="1" x14ac:dyDescent="0.3">
      <c r="B274" s="188"/>
      <c r="C274" s="104"/>
      <c r="D274" s="105"/>
      <c r="E274" s="65"/>
      <c r="F274" s="120" t="s">
        <v>155</v>
      </c>
      <c r="G274" s="24">
        <v>420000</v>
      </c>
      <c r="H274" s="106"/>
      <c r="I274" s="225" t="s">
        <v>1364</v>
      </c>
      <c r="J274" s="62">
        <v>0</v>
      </c>
      <c r="K274" s="233">
        <f t="shared" si="3"/>
        <v>420000</v>
      </c>
      <c r="L274" s="188"/>
      <c r="M274" s="80"/>
    </row>
    <row r="275" spans="2:13" ht="18.600000000000001" customHeight="1" x14ac:dyDescent="0.3">
      <c r="B275" s="188"/>
      <c r="C275" s="104"/>
      <c r="D275" s="105"/>
      <c r="E275" s="65"/>
      <c r="F275" s="120" t="s">
        <v>130</v>
      </c>
      <c r="G275" s="24">
        <v>380000</v>
      </c>
      <c r="H275" s="106"/>
      <c r="I275" s="225" t="s">
        <v>143</v>
      </c>
      <c r="J275" s="62">
        <v>0</v>
      </c>
      <c r="K275" s="233">
        <f t="shared" si="3"/>
        <v>380000</v>
      </c>
      <c r="L275" s="188"/>
      <c r="M275" s="80"/>
    </row>
    <row r="276" spans="2:13" ht="18.600000000000001" customHeight="1" x14ac:dyDescent="0.3">
      <c r="B276" s="188"/>
      <c r="C276" s="104"/>
      <c r="D276" s="105"/>
      <c r="E276" s="65"/>
      <c r="F276" s="120" t="s">
        <v>130</v>
      </c>
      <c r="G276" s="24">
        <v>360000</v>
      </c>
      <c r="H276" s="106"/>
      <c r="I276" s="225" t="s">
        <v>102</v>
      </c>
      <c r="J276" s="62">
        <v>0</v>
      </c>
      <c r="K276" s="233">
        <f t="shared" si="3"/>
        <v>360000</v>
      </c>
      <c r="L276" s="188"/>
      <c r="M276" s="80"/>
    </row>
    <row r="277" spans="2:13" ht="18.600000000000001" customHeight="1" x14ac:dyDescent="0.3">
      <c r="B277" s="188"/>
      <c r="C277" s="104"/>
      <c r="D277" s="105"/>
      <c r="E277" s="65"/>
      <c r="F277" s="120" t="s">
        <v>130</v>
      </c>
      <c r="G277" s="24">
        <v>320000</v>
      </c>
      <c r="H277" s="106"/>
      <c r="I277" s="225" t="s">
        <v>1130</v>
      </c>
      <c r="J277" s="62">
        <v>0</v>
      </c>
      <c r="K277" s="233">
        <f t="shared" si="3"/>
        <v>320000</v>
      </c>
      <c r="L277" s="188"/>
      <c r="M277" s="80"/>
    </row>
    <row r="278" spans="2:13" ht="18.600000000000001" customHeight="1" x14ac:dyDescent="0.3">
      <c r="B278" s="188"/>
      <c r="C278" s="104"/>
      <c r="D278" s="105"/>
      <c r="E278" s="65"/>
      <c r="F278" s="120" t="s">
        <v>130</v>
      </c>
      <c r="G278" s="24">
        <v>480000</v>
      </c>
      <c r="H278" s="106"/>
      <c r="I278" s="225" t="s">
        <v>158</v>
      </c>
      <c r="J278" s="62">
        <v>0</v>
      </c>
      <c r="K278" s="233">
        <f t="shared" si="3"/>
        <v>480000</v>
      </c>
      <c r="L278" s="188"/>
      <c r="M278" s="80"/>
    </row>
    <row r="279" spans="2:13" ht="18.600000000000001" customHeight="1" x14ac:dyDescent="0.3">
      <c r="B279" s="188"/>
      <c r="C279" s="104"/>
      <c r="D279" s="105"/>
      <c r="E279" s="65"/>
      <c r="F279" s="120" t="s">
        <v>130</v>
      </c>
      <c r="G279" s="24">
        <v>460000</v>
      </c>
      <c r="H279" s="106"/>
      <c r="I279" s="225" t="s">
        <v>159</v>
      </c>
      <c r="J279" s="62">
        <v>0</v>
      </c>
      <c r="K279" s="233">
        <f t="shared" si="3"/>
        <v>460000</v>
      </c>
      <c r="L279" s="188"/>
      <c r="M279" s="80"/>
    </row>
    <row r="280" spans="2:13" ht="18.600000000000001" customHeight="1" x14ac:dyDescent="0.3">
      <c r="B280" s="188"/>
      <c r="C280" s="104"/>
      <c r="D280" s="105"/>
      <c r="E280" s="65"/>
      <c r="F280" s="120" t="s">
        <v>130</v>
      </c>
      <c r="G280" s="24">
        <v>420000</v>
      </c>
      <c r="H280" s="106"/>
      <c r="I280" s="225" t="s">
        <v>1136</v>
      </c>
      <c r="J280" s="62">
        <v>0</v>
      </c>
      <c r="K280" s="233">
        <f t="shared" si="3"/>
        <v>420000</v>
      </c>
      <c r="L280" s="188"/>
      <c r="M280" s="80"/>
    </row>
    <row r="281" spans="2:13" ht="18.600000000000001" customHeight="1" x14ac:dyDescent="0.3">
      <c r="B281" s="188"/>
      <c r="C281" s="104"/>
      <c r="D281" s="105"/>
      <c r="E281" s="65"/>
      <c r="F281" s="120" t="s">
        <v>130</v>
      </c>
      <c r="G281" s="24">
        <v>380000</v>
      </c>
      <c r="H281" s="106"/>
      <c r="I281" s="225" t="s">
        <v>381</v>
      </c>
      <c r="J281" s="62"/>
      <c r="K281" s="233">
        <f t="shared" si="3"/>
        <v>380000</v>
      </c>
      <c r="L281" s="188"/>
      <c r="M281" s="80"/>
    </row>
    <row r="282" spans="2:13" ht="18.600000000000001" customHeight="1" x14ac:dyDescent="0.3">
      <c r="B282" s="188"/>
      <c r="C282" s="104"/>
      <c r="D282" s="105"/>
      <c r="E282" s="65"/>
      <c r="F282" s="120" t="s">
        <v>140</v>
      </c>
      <c r="G282" s="24">
        <v>310000</v>
      </c>
      <c r="H282" s="106"/>
      <c r="I282" s="225" t="s">
        <v>102</v>
      </c>
      <c r="J282" s="62">
        <v>0</v>
      </c>
      <c r="K282" s="233">
        <f t="shared" si="3"/>
        <v>310000</v>
      </c>
      <c r="L282" s="188"/>
      <c r="M282" s="80"/>
    </row>
    <row r="283" spans="2:13" ht="18.600000000000001" customHeight="1" x14ac:dyDescent="0.3">
      <c r="B283" s="188"/>
      <c r="C283" s="104"/>
      <c r="D283" s="105"/>
      <c r="E283" s="65"/>
      <c r="F283" s="120" t="s">
        <v>140</v>
      </c>
      <c r="G283" s="24">
        <v>320000</v>
      </c>
      <c r="H283" s="106"/>
      <c r="I283" s="225" t="s">
        <v>1130</v>
      </c>
      <c r="J283" s="62">
        <v>0</v>
      </c>
      <c r="K283" s="233">
        <f t="shared" si="3"/>
        <v>320000</v>
      </c>
      <c r="L283" s="188"/>
      <c r="M283" s="80"/>
    </row>
    <row r="284" spans="2:13" ht="18.600000000000001" customHeight="1" x14ac:dyDescent="0.3">
      <c r="B284" s="188"/>
      <c r="C284" s="104"/>
      <c r="D284" s="105"/>
      <c r="E284" s="65"/>
      <c r="F284" s="120" t="s">
        <v>140</v>
      </c>
      <c r="G284" s="24">
        <v>410000</v>
      </c>
      <c r="H284" s="106"/>
      <c r="I284" s="225" t="s">
        <v>159</v>
      </c>
      <c r="J284" s="62">
        <v>0</v>
      </c>
      <c r="K284" s="233">
        <f t="shared" si="3"/>
        <v>410000</v>
      </c>
      <c r="L284" s="188"/>
      <c r="M284" s="80"/>
    </row>
    <row r="285" spans="2:13" ht="18.600000000000001" customHeight="1" x14ac:dyDescent="0.3">
      <c r="B285" s="188"/>
      <c r="C285" s="104"/>
      <c r="D285" s="105"/>
      <c r="E285" s="65"/>
      <c r="F285" s="120" t="s">
        <v>140</v>
      </c>
      <c r="G285" s="24">
        <v>420000</v>
      </c>
      <c r="H285" s="106"/>
      <c r="I285" s="225" t="s">
        <v>1136</v>
      </c>
      <c r="J285" s="62">
        <v>0</v>
      </c>
      <c r="K285" s="233">
        <f t="shared" si="3"/>
        <v>420000</v>
      </c>
      <c r="L285" s="188"/>
      <c r="M285" s="80"/>
    </row>
    <row r="286" spans="2:13" ht="18.600000000000001" customHeight="1" x14ac:dyDescent="0.3">
      <c r="B286" s="188"/>
      <c r="C286" s="104"/>
      <c r="D286" s="105"/>
      <c r="E286" s="65"/>
      <c r="F286" s="120" t="s">
        <v>1266</v>
      </c>
      <c r="G286" s="24">
        <v>150000</v>
      </c>
      <c r="H286" s="106"/>
      <c r="I286" s="225" t="s">
        <v>1313</v>
      </c>
      <c r="J286" s="62">
        <v>0</v>
      </c>
      <c r="K286" s="233">
        <f t="shared" si="3"/>
        <v>150000</v>
      </c>
      <c r="L286" s="188"/>
      <c r="M286" s="80"/>
    </row>
    <row r="287" spans="2:13" ht="18.600000000000001" customHeight="1" x14ac:dyDescent="0.3">
      <c r="B287" s="188"/>
      <c r="C287" s="104"/>
      <c r="D287" s="105"/>
      <c r="E287" s="65"/>
      <c r="F287" s="120" t="s">
        <v>1266</v>
      </c>
      <c r="G287" s="24">
        <v>310000</v>
      </c>
      <c r="H287" s="106"/>
      <c r="I287" s="225" t="s">
        <v>1311</v>
      </c>
      <c r="J287" s="62">
        <v>0</v>
      </c>
      <c r="K287" s="233">
        <f t="shared" si="3"/>
        <v>310000</v>
      </c>
      <c r="L287" s="188"/>
      <c r="M287" s="80"/>
    </row>
    <row r="288" spans="2:13" ht="18.600000000000001" customHeight="1" x14ac:dyDescent="0.3">
      <c r="B288" s="188"/>
      <c r="C288" s="104"/>
      <c r="D288" s="105"/>
      <c r="E288" s="65"/>
      <c r="F288" s="120" t="s">
        <v>1266</v>
      </c>
      <c r="G288" s="24">
        <v>420000</v>
      </c>
      <c r="H288" s="106"/>
      <c r="I288" s="225" t="s">
        <v>1364</v>
      </c>
      <c r="J288" s="62">
        <v>0</v>
      </c>
      <c r="K288" s="233">
        <f t="shared" si="3"/>
        <v>420000</v>
      </c>
      <c r="L288" s="188"/>
      <c r="M288" s="80"/>
    </row>
    <row r="289" spans="2:13" ht="18.600000000000001" customHeight="1" x14ac:dyDescent="0.3">
      <c r="B289" s="188"/>
      <c r="C289" s="104"/>
      <c r="D289" s="105"/>
      <c r="E289" s="65"/>
      <c r="F289" s="120" t="s">
        <v>117</v>
      </c>
      <c r="G289" s="24">
        <v>180000</v>
      </c>
      <c r="H289" s="106"/>
      <c r="I289" s="225" t="s">
        <v>143</v>
      </c>
      <c r="J289" s="62">
        <v>0</v>
      </c>
      <c r="K289" s="233">
        <f t="shared" si="3"/>
        <v>180000</v>
      </c>
      <c r="L289" s="188"/>
      <c r="M289" s="80"/>
    </row>
    <row r="290" spans="2:13" ht="18.600000000000001" customHeight="1" x14ac:dyDescent="0.3">
      <c r="B290" s="188"/>
      <c r="C290" s="104"/>
      <c r="D290" s="105"/>
      <c r="E290" s="65"/>
      <c r="F290" s="120" t="s">
        <v>117</v>
      </c>
      <c r="G290" s="24">
        <v>160000</v>
      </c>
      <c r="H290" s="106"/>
      <c r="I290" s="225" t="s">
        <v>102</v>
      </c>
      <c r="J290" s="62">
        <v>0</v>
      </c>
      <c r="K290" s="233">
        <f t="shared" si="3"/>
        <v>160000</v>
      </c>
      <c r="L290" s="188"/>
      <c r="M290" s="80"/>
    </row>
    <row r="291" spans="2:13" ht="18.600000000000001" customHeight="1" x14ac:dyDescent="0.3">
      <c r="B291" s="188"/>
      <c r="C291" s="104"/>
      <c r="D291" s="105"/>
      <c r="E291" s="65"/>
      <c r="F291" s="120" t="s">
        <v>117</v>
      </c>
      <c r="G291" s="24">
        <v>320000</v>
      </c>
      <c r="H291" s="106"/>
      <c r="I291" s="225" t="s">
        <v>1130</v>
      </c>
      <c r="J291" s="62">
        <v>0</v>
      </c>
      <c r="K291" s="233">
        <f t="shared" si="3"/>
        <v>320000</v>
      </c>
      <c r="L291" s="188"/>
      <c r="M291" s="80"/>
    </row>
    <row r="292" spans="2:13" ht="18.600000000000001" customHeight="1" x14ac:dyDescent="0.3">
      <c r="B292" s="188"/>
      <c r="C292" s="104"/>
      <c r="D292" s="105"/>
      <c r="E292" s="65"/>
      <c r="F292" s="120" t="s">
        <v>117</v>
      </c>
      <c r="G292" s="24">
        <v>280000</v>
      </c>
      <c r="H292" s="106"/>
      <c r="I292" s="225" t="s">
        <v>158</v>
      </c>
      <c r="J292" s="62">
        <v>0</v>
      </c>
      <c r="K292" s="233">
        <f t="shared" si="3"/>
        <v>280000</v>
      </c>
      <c r="L292" s="188"/>
      <c r="M292" s="80"/>
    </row>
    <row r="293" spans="2:13" ht="18.600000000000001" customHeight="1" x14ac:dyDescent="0.3">
      <c r="B293" s="188"/>
      <c r="C293" s="104"/>
      <c r="D293" s="105"/>
      <c r="E293" s="65"/>
      <c r="F293" s="120" t="s">
        <v>117</v>
      </c>
      <c r="G293" s="24">
        <v>260000</v>
      </c>
      <c r="H293" s="106"/>
      <c r="I293" s="225" t="s">
        <v>159</v>
      </c>
      <c r="J293" s="62">
        <v>0</v>
      </c>
      <c r="K293" s="233">
        <f t="shared" si="3"/>
        <v>260000</v>
      </c>
      <c r="L293" s="188"/>
      <c r="M293" s="80"/>
    </row>
    <row r="294" spans="2:13" ht="18.600000000000001" customHeight="1" x14ac:dyDescent="0.3">
      <c r="B294" s="188"/>
      <c r="C294" s="104"/>
      <c r="D294" s="105"/>
      <c r="E294" s="65"/>
      <c r="F294" s="120" t="s">
        <v>117</v>
      </c>
      <c r="G294" s="24">
        <v>420000</v>
      </c>
      <c r="H294" s="106"/>
      <c r="I294" s="225" t="s">
        <v>1136</v>
      </c>
      <c r="J294" s="62">
        <v>0</v>
      </c>
      <c r="K294" s="233">
        <f t="shared" si="3"/>
        <v>420000</v>
      </c>
      <c r="L294" s="188"/>
      <c r="M294" s="80"/>
    </row>
    <row r="295" spans="2:13" ht="18.600000000000001" customHeight="1" x14ac:dyDescent="0.3">
      <c r="B295" s="188"/>
      <c r="C295" s="104"/>
      <c r="D295" s="105"/>
      <c r="E295" s="65"/>
      <c r="F295" s="120" t="s">
        <v>117</v>
      </c>
      <c r="G295" s="24">
        <v>180000</v>
      </c>
      <c r="H295" s="106"/>
      <c r="I295" s="225" t="s">
        <v>381</v>
      </c>
      <c r="J295" s="62"/>
      <c r="K295" s="233">
        <f t="shared" si="3"/>
        <v>180000</v>
      </c>
      <c r="L295" s="188"/>
      <c r="M295" s="80"/>
    </row>
    <row r="296" spans="2:13" ht="18.600000000000001" customHeight="1" x14ac:dyDescent="0.3">
      <c r="B296" s="188"/>
      <c r="C296" s="104"/>
      <c r="D296" s="105"/>
      <c r="E296" s="65"/>
      <c r="F296" s="120" t="s">
        <v>1275</v>
      </c>
      <c r="G296" s="24">
        <v>350000</v>
      </c>
      <c r="H296" s="106"/>
      <c r="I296" s="225" t="s">
        <v>1313</v>
      </c>
      <c r="J296" s="62">
        <v>0</v>
      </c>
      <c r="K296" s="233">
        <f t="shared" si="3"/>
        <v>350000</v>
      </c>
      <c r="L296" s="188"/>
      <c r="M296" s="80"/>
    </row>
    <row r="297" spans="2:13" ht="18.600000000000001" customHeight="1" x14ac:dyDescent="0.3">
      <c r="B297" s="188"/>
      <c r="C297" s="104"/>
      <c r="D297" s="105"/>
      <c r="E297" s="65"/>
      <c r="F297" s="120" t="s">
        <v>1275</v>
      </c>
      <c r="G297" s="24">
        <v>310000</v>
      </c>
      <c r="H297" s="106"/>
      <c r="I297" s="225" t="s">
        <v>1311</v>
      </c>
      <c r="J297" s="62">
        <v>0</v>
      </c>
      <c r="K297" s="233">
        <f t="shared" si="3"/>
        <v>310000</v>
      </c>
      <c r="L297" s="188"/>
      <c r="M297" s="80"/>
    </row>
    <row r="298" spans="2:13" ht="18.600000000000001" customHeight="1" x14ac:dyDescent="0.3">
      <c r="B298" s="188"/>
      <c r="C298" s="104"/>
      <c r="D298" s="105"/>
      <c r="E298" s="65"/>
      <c r="F298" s="120" t="s">
        <v>1275</v>
      </c>
      <c r="G298" s="24">
        <v>420000</v>
      </c>
      <c r="H298" s="106"/>
      <c r="I298" s="225" t="s">
        <v>1364</v>
      </c>
      <c r="J298" s="62">
        <v>0</v>
      </c>
      <c r="K298" s="233">
        <f t="shared" si="3"/>
        <v>420000</v>
      </c>
      <c r="L298" s="188"/>
      <c r="M298" s="80"/>
    </row>
    <row r="299" spans="2:13" ht="18.600000000000001" customHeight="1" x14ac:dyDescent="0.3">
      <c r="B299" s="188"/>
      <c r="C299" s="104"/>
      <c r="D299" s="105"/>
      <c r="E299" s="65"/>
      <c r="F299" s="120" t="s">
        <v>128</v>
      </c>
      <c r="G299" s="24">
        <v>180000</v>
      </c>
      <c r="H299" s="106"/>
      <c r="I299" s="225" t="s">
        <v>143</v>
      </c>
      <c r="J299" s="62">
        <v>0</v>
      </c>
      <c r="K299" s="233">
        <f t="shared" si="3"/>
        <v>180000</v>
      </c>
      <c r="L299" s="188"/>
      <c r="M299" s="80"/>
    </row>
    <row r="300" spans="2:13" ht="18.600000000000001" customHeight="1" x14ac:dyDescent="0.3">
      <c r="B300" s="188"/>
      <c r="C300" s="104"/>
      <c r="D300" s="105"/>
      <c r="E300" s="65"/>
      <c r="F300" s="120" t="s">
        <v>128</v>
      </c>
      <c r="G300" s="24">
        <v>160000</v>
      </c>
      <c r="H300" s="106"/>
      <c r="I300" s="225" t="s">
        <v>102</v>
      </c>
      <c r="J300" s="62">
        <v>0</v>
      </c>
      <c r="K300" s="233">
        <f t="shared" si="3"/>
        <v>160000</v>
      </c>
      <c r="L300" s="188"/>
      <c r="M300" s="80"/>
    </row>
    <row r="301" spans="2:13" ht="18.600000000000001" customHeight="1" x14ac:dyDescent="0.3">
      <c r="B301" s="188"/>
      <c r="C301" s="104"/>
      <c r="D301" s="105"/>
      <c r="E301" s="65"/>
      <c r="F301" s="120" t="s">
        <v>128</v>
      </c>
      <c r="G301" s="24">
        <v>320000</v>
      </c>
      <c r="H301" s="106"/>
      <c r="I301" s="225" t="s">
        <v>1130</v>
      </c>
      <c r="J301" s="62">
        <v>0</v>
      </c>
      <c r="K301" s="233">
        <f t="shared" si="3"/>
        <v>320000</v>
      </c>
      <c r="L301" s="188"/>
      <c r="M301" s="80"/>
    </row>
    <row r="302" spans="2:13" ht="18.600000000000001" customHeight="1" x14ac:dyDescent="0.3">
      <c r="B302" s="188"/>
      <c r="C302" s="104"/>
      <c r="D302" s="105"/>
      <c r="E302" s="65"/>
      <c r="F302" s="120" t="s">
        <v>128</v>
      </c>
      <c r="G302" s="24">
        <v>280000</v>
      </c>
      <c r="H302" s="106"/>
      <c r="I302" s="225" t="s">
        <v>158</v>
      </c>
      <c r="J302" s="62">
        <v>0</v>
      </c>
      <c r="K302" s="233">
        <f t="shared" si="3"/>
        <v>280000</v>
      </c>
      <c r="L302" s="188"/>
      <c r="M302" s="80"/>
    </row>
    <row r="303" spans="2:13" ht="18.600000000000001" customHeight="1" x14ac:dyDescent="0.3">
      <c r="B303" s="188"/>
      <c r="C303" s="104"/>
      <c r="D303" s="105"/>
      <c r="E303" s="65"/>
      <c r="F303" s="120" t="s">
        <v>128</v>
      </c>
      <c r="G303" s="24">
        <v>260000</v>
      </c>
      <c r="H303" s="106"/>
      <c r="I303" s="225" t="s">
        <v>159</v>
      </c>
      <c r="J303" s="62">
        <v>0</v>
      </c>
      <c r="K303" s="233">
        <f t="shared" si="3"/>
        <v>260000</v>
      </c>
      <c r="L303" s="188"/>
      <c r="M303" s="80"/>
    </row>
    <row r="304" spans="2:13" ht="18.600000000000001" customHeight="1" x14ac:dyDescent="0.3">
      <c r="B304" s="188"/>
      <c r="C304" s="104"/>
      <c r="D304" s="105"/>
      <c r="E304" s="65"/>
      <c r="F304" s="120" t="s">
        <v>128</v>
      </c>
      <c r="G304" s="24">
        <v>420000</v>
      </c>
      <c r="H304" s="106"/>
      <c r="I304" s="225" t="s">
        <v>1136</v>
      </c>
      <c r="J304" s="62">
        <v>0</v>
      </c>
      <c r="K304" s="233">
        <f t="shared" si="3"/>
        <v>420000</v>
      </c>
      <c r="L304" s="188"/>
      <c r="M304" s="80"/>
    </row>
    <row r="305" spans="2:13" ht="18.600000000000001" customHeight="1" x14ac:dyDescent="0.3">
      <c r="B305" s="188"/>
      <c r="C305" s="104"/>
      <c r="D305" s="105"/>
      <c r="E305" s="65"/>
      <c r="F305" s="120" t="s">
        <v>128</v>
      </c>
      <c r="G305" s="24">
        <v>180000</v>
      </c>
      <c r="H305" s="106"/>
      <c r="I305" s="225" t="s">
        <v>381</v>
      </c>
      <c r="J305" s="62"/>
      <c r="K305" s="233">
        <f t="shared" si="3"/>
        <v>180000</v>
      </c>
      <c r="L305" s="188"/>
      <c r="M305" s="80"/>
    </row>
    <row r="306" spans="2:13" ht="18.600000000000001" customHeight="1" x14ac:dyDescent="0.3">
      <c r="B306" s="188"/>
      <c r="C306" s="104"/>
      <c r="D306" s="105"/>
      <c r="E306" s="65"/>
      <c r="F306" s="120" t="s">
        <v>138</v>
      </c>
      <c r="G306" s="24">
        <v>180000</v>
      </c>
      <c r="H306" s="106"/>
      <c r="I306" s="225" t="s">
        <v>143</v>
      </c>
      <c r="J306" s="62">
        <v>0</v>
      </c>
      <c r="K306" s="233">
        <f t="shared" si="3"/>
        <v>180000</v>
      </c>
      <c r="L306" s="188"/>
      <c r="M306" s="80"/>
    </row>
    <row r="307" spans="2:13" ht="18.600000000000001" customHeight="1" x14ac:dyDescent="0.3">
      <c r="B307" s="188"/>
      <c r="C307" s="104"/>
      <c r="D307" s="105"/>
      <c r="E307" s="65"/>
      <c r="F307" s="120" t="s">
        <v>138</v>
      </c>
      <c r="G307" s="24">
        <v>160000</v>
      </c>
      <c r="H307" s="106"/>
      <c r="I307" s="225" t="s">
        <v>102</v>
      </c>
      <c r="J307" s="62">
        <v>0</v>
      </c>
      <c r="K307" s="233">
        <f t="shared" ref="K307:K379" si="4">G307+J307</f>
        <v>160000</v>
      </c>
      <c r="L307" s="188"/>
      <c r="M307" s="80"/>
    </row>
    <row r="308" spans="2:13" ht="18.600000000000001" customHeight="1" x14ac:dyDescent="0.3">
      <c r="B308" s="188"/>
      <c r="C308" s="104"/>
      <c r="D308" s="105"/>
      <c r="E308" s="65"/>
      <c r="F308" s="120" t="s">
        <v>138</v>
      </c>
      <c r="G308" s="24">
        <v>320000</v>
      </c>
      <c r="H308" s="106"/>
      <c r="I308" s="225" t="s">
        <v>1130</v>
      </c>
      <c r="J308" s="62">
        <v>0</v>
      </c>
      <c r="K308" s="233">
        <f t="shared" si="4"/>
        <v>320000</v>
      </c>
      <c r="L308" s="188"/>
      <c r="M308" s="80"/>
    </row>
    <row r="309" spans="2:13" ht="18.600000000000001" customHeight="1" x14ac:dyDescent="0.3">
      <c r="B309" s="188"/>
      <c r="C309" s="104"/>
      <c r="D309" s="105"/>
      <c r="E309" s="65"/>
      <c r="F309" s="120" t="s">
        <v>138</v>
      </c>
      <c r="G309" s="24">
        <v>280000</v>
      </c>
      <c r="H309" s="106"/>
      <c r="I309" s="225" t="s">
        <v>158</v>
      </c>
      <c r="J309" s="62">
        <v>0</v>
      </c>
      <c r="K309" s="233">
        <f t="shared" si="4"/>
        <v>280000</v>
      </c>
      <c r="L309" s="188"/>
      <c r="M309" s="80"/>
    </row>
    <row r="310" spans="2:13" ht="18.600000000000001" customHeight="1" x14ac:dyDescent="0.3">
      <c r="B310" s="188"/>
      <c r="C310" s="104"/>
      <c r="D310" s="105"/>
      <c r="E310" s="65"/>
      <c r="F310" s="120" t="s">
        <v>138</v>
      </c>
      <c r="G310" s="24">
        <v>260000</v>
      </c>
      <c r="H310" s="106"/>
      <c r="I310" s="225" t="s">
        <v>159</v>
      </c>
      <c r="J310" s="62">
        <v>0</v>
      </c>
      <c r="K310" s="233">
        <f t="shared" si="4"/>
        <v>260000</v>
      </c>
      <c r="L310" s="188"/>
      <c r="M310" s="80"/>
    </row>
    <row r="311" spans="2:13" ht="18.600000000000001" customHeight="1" x14ac:dyDescent="0.3">
      <c r="B311" s="188"/>
      <c r="C311" s="104"/>
      <c r="D311" s="105"/>
      <c r="E311" s="65"/>
      <c r="F311" s="120" t="s">
        <v>138</v>
      </c>
      <c r="G311" s="24">
        <v>420000</v>
      </c>
      <c r="H311" s="106"/>
      <c r="I311" s="225" t="s">
        <v>1136</v>
      </c>
      <c r="J311" s="62">
        <v>0</v>
      </c>
      <c r="K311" s="233">
        <f t="shared" si="4"/>
        <v>420000</v>
      </c>
      <c r="L311" s="188"/>
      <c r="M311" s="80"/>
    </row>
    <row r="312" spans="2:13" ht="18.600000000000001" customHeight="1" x14ac:dyDescent="0.3">
      <c r="B312" s="188"/>
      <c r="C312" s="104"/>
      <c r="D312" s="105"/>
      <c r="E312" s="65"/>
      <c r="F312" s="120" t="s">
        <v>138</v>
      </c>
      <c r="G312" s="24">
        <v>180000</v>
      </c>
      <c r="H312" s="106"/>
      <c r="I312" s="225" t="s">
        <v>381</v>
      </c>
      <c r="J312" s="62"/>
      <c r="K312" s="233">
        <f t="shared" si="4"/>
        <v>180000</v>
      </c>
      <c r="L312" s="188"/>
      <c r="M312" s="80"/>
    </row>
    <row r="313" spans="2:13" ht="18.600000000000001" customHeight="1" x14ac:dyDescent="0.3">
      <c r="B313" s="188"/>
      <c r="C313" s="104"/>
      <c r="D313" s="105"/>
      <c r="E313" s="65"/>
      <c r="F313" s="120" t="s">
        <v>1188</v>
      </c>
      <c r="G313" s="24">
        <v>180000</v>
      </c>
      <c r="H313" s="106"/>
      <c r="I313" s="225" t="s">
        <v>143</v>
      </c>
      <c r="J313" s="62">
        <v>0</v>
      </c>
      <c r="K313" s="233">
        <f t="shared" si="4"/>
        <v>180000</v>
      </c>
      <c r="L313" s="188"/>
      <c r="M313" s="80"/>
    </row>
    <row r="314" spans="2:13" ht="18.600000000000001" customHeight="1" x14ac:dyDescent="0.3">
      <c r="B314" s="188"/>
      <c r="C314" s="104"/>
      <c r="D314" s="105"/>
      <c r="E314" s="65"/>
      <c r="F314" s="120" t="s">
        <v>1188</v>
      </c>
      <c r="G314" s="24">
        <v>160000</v>
      </c>
      <c r="H314" s="106"/>
      <c r="I314" s="225" t="s">
        <v>102</v>
      </c>
      <c r="J314" s="62">
        <v>0</v>
      </c>
      <c r="K314" s="233">
        <f t="shared" si="4"/>
        <v>160000</v>
      </c>
      <c r="L314" s="188"/>
      <c r="M314" s="80"/>
    </row>
    <row r="315" spans="2:13" ht="18.600000000000001" customHeight="1" x14ac:dyDescent="0.3">
      <c r="B315" s="188"/>
      <c r="C315" s="104"/>
      <c r="D315" s="105"/>
      <c r="E315" s="65"/>
      <c r="F315" s="120" t="s">
        <v>1188</v>
      </c>
      <c r="G315" s="24">
        <v>320000</v>
      </c>
      <c r="H315" s="106"/>
      <c r="I315" s="225" t="s">
        <v>1130</v>
      </c>
      <c r="J315" s="62">
        <v>0</v>
      </c>
      <c r="K315" s="233">
        <f t="shared" si="4"/>
        <v>320000</v>
      </c>
      <c r="L315" s="188"/>
      <c r="M315" s="80"/>
    </row>
    <row r="316" spans="2:13" ht="18.600000000000001" customHeight="1" x14ac:dyDescent="0.3">
      <c r="B316" s="188"/>
      <c r="C316" s="104"/>
      <c r="D316" s="105"/>
      <c r="E316" s="65"/>
      <c r="F316" s="120" t="s">
        <v>1188</v>
      </c>
      <c r="G316" s="24">
        <v>280000</v>
      </c>
      <c r="H316" s="106"/>
      <c r="I316" s="225" t="s">
        <v>158</v>
      </c>
      <c r="J316" s="62">
        <v>0</v>
      </c>
      <c r="K316" s="233">
        <f t="shared" si="4"/>
        <v>280000</v>
      </c>
      <c r="L316" s="188"/>
      <c r="M316" s="80"/>
    </row>
    <row r="317" spans="2:13" ht="18.600000000000001" customHeight="1" x14ac:dyDescent="0.3">
      <c r="B317" s="188"/>
      <c r="C317" s="104"/>
      <c r="D317" s="105"/>
      <c r="E317" s="65"/>
      <c r="F317" s="120" t="s">
        <v>1188</v>
      </c>
      <c r="G317" s="24">
        <v>260000</v>
      </c>
      <c r="H317" s="106"/>
      <c r="I317" s="225" t="s">
        <v>159</v>
      </c>
      <c r="J317" s="62">
        <v>0</v>
      </c>
      <c r="K317" s="233">
        <f t="shared" si="4"/>
        <v>260000</v>
      </c>
      <c r="L317" s="188"/>
      <c r="M317" s="80"/>
    </row>
    <row r="318" spans="2:13" ht="18.600000000000001" customHeight="1" x14ac:dyDescent="0.3">
      <c r="B318" s="188"/>
      <c r="C318" s="104"/>
      <c r="D318" s="105"/>
      <c r="E318" s="65"/>
      <c r="F318" s="120" t="s">
        <v>1188</v>
      </c>
      <c r="G318" s="24">
        <v>420000</v>
      </c>
      <c r="H318" s="106"/>
      <c r="I318" s="225" t="s">
        <v>1136</v>
      </c>
      <c r="J318" s="62">
        <v>0</v>
      </c>
      <c r="K318" s="233">
        <f t="shared" si="4"/>
        <v>420000</v>
      </c>
      <c r="L318" s="188"/>
      <c r="M318" s="80"/>
    </row>
    <row r="319" spans="2:13" ht="18.600000000000001" customHeight="1" x14ac:dyDescent="0.3">
      <c r="B319" s="188"/>
      <c r="C319" s="104"/>
      <c r="D319" s="105"/>
      <c r="E319" s="65"/>
      <c r="F319" s="120" t="s">
        <v>1188</v>
      </c>
      <c r="G319" s="24">
        <v>180000</v>
      </c>
      <c r="H319" s="106"/>
      <c r="I319" s="225" t="s">
        <v>381</v>
      </c>
      <c r="J319" s="62"/>
      <c r="K319" s="233">
        <f t="shared" si="4"/>
        <v>180000</v>
      </c>
      <c r="L319" s="188"/>
      <c r="M319" s="80"/>
    </row>
    <row r="320" spans="2:13" ht="18.600000000000001" customHeight="1" x14ac:dyDescent="0.3">
      <c r="B320" s="188"/>
      <c r="C320" s="104"/>
      <c r="D320" s="105"/>
      <c r="E320" s="65"/>
      <c r="F320" s="120" t="s">
        <v>1188</v>
      </c>
      <c r="G320" s="24">
        <v>350000</v>
      </c>
      <c r="H320" s="106"/>
      <c r="I320" s="225" t="s">
        <v>1313</v>
      </c>
      <c r="J320" s="62">
        <v>0</v>
      </c>
      <c r="K320" s="233">
        <f t="shared" si="4"/>
        <v>350000</v>
      </c>
      <c r="L320" s="188"/>
      <c r="M320" s="80"/>
    </row>
    <row r="321" spans="2:13" ht="18.600000000000001" customHeight="1" x14ac:dyDescent="0.3">
      <c r="B321" s="188"/>
      <c r="C321" s="104"/>
      <c r="D321" s="105"/>
      <c r="E321" s="65"/>
      <c r="F321" s="120" t="s">
        <v>1188</v>
      </c>
      <c r="G321" s="24">
        <v>310000</v>
      </c>
      <c r="H321" s="106"/>
      <c r="I321" s="225" t="s">
        <v>1311</v>
      </c>
      <c r="J321" s="62">
        <v>0</v>
      </c>
      <c r="K321" s="233">
        <f t="shared" si="4"/>
        <v>310000</v>
      </c>
      <c r="L321" s="188"/>
      <c r="M321" s="80"/>
    </row>
    <row r="322" spans="2:13" ht="18.600000000000001" customHeight="1" x14ac:dyDescent="0.3">
      <c r="B322" s="188"/>
      <c r="C322" s="104"/>
      <c r="D322" s="105"/>
      <c r="E322" s="65"/>
      <c r="F322" s="120" t="s">
        <v>1188</v>
      </c>
      <c r="G322" s="24">
        <v>420000</v>
      </c>
      <c r="H322" s="106"/>
      <c r="I322" s="225" t="s">
        <v>1364</v>
      </c>
      <c r="J322" s="62">
        <v>0</v>
      </c>
      <c r="K322" s="233">
        <f t="shared" si="4"/>
        <v>420000</v>
      </c>
      <c r="L322" s="188"/>
      <c r="M322" s="80"/>
    </row>
    <row r="323" spans="2:13" ht="18.600000000000001" customHeight="1" x14ac:dyDescent="0.3">
      <c r="B323" s="188"/>
      <c r="C323" s="104"/>
      <c r="D323" s="105"/>
      <c r="E323" s="65"/>
      <c r="F323" s="120" t="s">
        <v>1260</v>
      </c>
      <c r="G323" s="24">
        <v>350000</v>
      </c>
      <c r="H323" s="106"/>
      <c r="I323" s="225" t="s">
        <v>1313</v>
      </c>
      <c r="J323" s="62">
        <v>0</v>
      </c>
      <c r="K323" s="233">
        <f t="shared" si="4"/>
        <v>350000</v>
      </c>
      <c r="L323" s="188"/>
      <c r="M323" s="80"/>
    </row>
    <row r="324" spans="2:13" ht="18.600000000000001" customHeight="1" x14ac:dyDescent="0.3">
      <c r="B324" s="188"/>
      <c r="C324" s="104"/>
      <c r="D324" s="105"/>
      <c r="E324" s="65"/>
      <c r="F324" s="120" t="s">
        <v>1260</v>
      </c>
      <c r="G324" s="24">
        <v>510000</v>
      </c>
      <c r="H324" s="106"/>
      <c r="I324" s="225" t="s">
        <v>1311</v>
      </c>
      <c r="J324" s="62">
        <v>0</v>
      </c>
      <c r="K324" s="233">
        <f t="shared" si="4"/>
        <v>510000</v>
      </c>
      <c r="L324" s="188"/>
      <c r="M324" s="80"/>
    </row>
    <row r="325" spans="2:13" ht="18.600000000000001" customHeight="1" x14ac:dyDescent="0.3">
      <c r="B325" s="188"/>
      <c r="C325" s="104"/>
      <c r="D325" s="105"/>
      <c r="E325" s="65"/>
      <c r="F325" s="120" t="s">
        <v>1260</v>
      </c>
      <c r="G325" s="24">
        <v>420000</v>
      </c>
      <c r="H325" s="106"/>
      <c r="I325" s="225" t="s">
        <v>1364</v>
      </c>
      <c r="J325" s="62">
        <v>0</v>
      </c>
      <c r="K325" s="233">
        <f t="shared" si="4"/>
        <v>420000</v>
      </c>
      <c r="L325" s="188"/>
      <c r="M325" s="80"/>
    </row>
    <row r="326" spans="2:13" ht="18.600000000000001" customHeight="1" x14ac:dyDescent="0.3">
      <c r="B326" s="188"/>
      <c r="C326" s="104"/>
      <c r="D326" s="105"/>
      <c r="E326" s="65"/>
      <c r="F326" s="120" t="s">
        <v>171</v>
      </c>
      <c r="G326" s="24">
        <v>230000</v>
      </c>
      <c r="H326" s="106"/>
      <c r="I326" s="225" t="s">
        <v>143</v>
      </c>
      <c r="J326" s="62">
        <v>0</v>
      </c>
      <c r="K326" s="233">
        <f t="shared" si="4"/>
        <v>230000</v>
      </c>
      <c r="L326" s="188"/>
      <c r="M326" s="80"/>
    </row>
    <row r="327" spans="2:13" ht="18.600000000000001" customHeight="1" x14ac:dyDescent="0.3">
      <c r="B327" s="188"/>
      <c r="C327" s="104"/>
      <c r="D327" s="105"/>
      <c r="E327" s="65"/>
      <c r="F327" s="120" t="s">
        <v>171</v>
      </c>
      <c r="G327" s="24">
        <v>210000</v>
      </c>
      <c r="H327" s="106"/>
      <c r="I327" s="225" t="s">
        <v>102</v>
      </c>
      <c r="J327" s="62">
        <v>0</v>
      </c>
      <c r="K327" s="233">
        <f t="shared" si="4"/>
        <v>210000</v>
      </c>
      <c r="L327" s="188"/>
      <c r="M327" s="80"/>
    </row>
    <row r="328" spans="2:13" ht="18.600000000000001" customHeight="1" x14ac:dyDescent="0.3">
      <c r="B328" s="188"/>
      <c r="C328" s="104"/>
      <c r="D328" s="105"/>
      <c r="E328" s="65"/>
      <c r="F328" s="120" t="s">
        <v>171</v>
      </c>
      <c r="G328" s="24">
        <v>320000</v>
      </c>
      <c r="H328" s="106"/>
      <c r="I328" s="225" t="s">
        <v>1130</v>
      </c>
      <c r="J328" s="62">
        <v>0</v>
      </c>
      <c r="K328" s="233">
        <f t="shared" si="4"/>
        <v>320000</v>
      </c>
      <c r="L328" s="188"/>
      <c r="M328" s="80"/>
    </row>
    <row r="329" spans="2:13" ht="18.600000000000001" customHeight="1" x14ac:dyDescent="0.3">
      <c r="B329" s="188"/>
      <c r="C329" s="104"/>
      <c r="D329" s="105"/>
      <c r="E329" s="65"/>
      <c r="F329" s="120" t="s">
        <v>171</v>
      </c>
      <c r="G329" s="24">
        <v>330000</v>
      </c>
      <c r="H329" s="106"/>
      <c r="I329" s="225" t="s">
        <v>158</v>
      </c>
      <c r="J329" s="62">
        <v>0</v>
      </c>
      <c r="K329" s="233">
        <f t="shared" si="4"/>
        <v>330000</v>
      </c>
      <c r="L329" s="188"/>
      <c r="M329" s="80"/>
    </row>
    <row r="330" spans="2:13" ht="18.600000000000001" customHeight="1" x14ac:dyDescent="0.3">
      <c r="B330" s="188"/>
      <c r="C330" s="104"/>
      <c r="D330" s="105"/>
      <c r="E330" s="65"/>
      <c r="F330" s="120" t="s">
        <v>171</v>
      </c>
      <c r="G330" s="24">
        <v>310000</v>
      </c>
      <c r="H330" s="106"/>
      <c r="I330" s="225" t="s">
        <v>159</v>
      </c>
      <c r="J330" s="62">
        <v>0</v>
      </c>
      <c r="K330" s="233">
        <f t="shared" si="4"/>
        <v>310000</v>
      </c>
      <c r="L330" s="188"/>
      <c r="M330" s="80"/>
    </row>
    <row r="331" spans="2:13" ht="18.600000000000001" customHeight="1" x14ac:dyDescent="0.3">
      <c r="B331" s="188"/>
      <c r="C331" s="104"/>
      <c r="D331" s="105"/>
      <c r="E331" s="65"/>
      <c r="F331" s="120" t="s">
        <v>171</v>
      </c>
      <c r="G331" s="24">
        <v>420000</v>
      </c>
      <c r="H331" s="106"/>
      <c r="I331" s="225" t="s">
        <v>1136</v>
      </c>
      <c r="J331" s="62">
        <v>0</v>
      </c>
      <c r="K331" s="233">
        <f t="shared" si="4"/>
        <v>420000</v>
      </c>
      <c r="L331" s="188"/>
      <c r="M331" s="80"/>
    </row>
    <row r="332" spans="2:13" ht="18.600000000000001" customHeight="1" x14ac:dyDescent="0.3">
      <c r="B332" s="188"/>
      <c r="C332" s="104"/>
      <c r="D332" s="105"/>
      <c r="E332" s="65"/>
      <c r="F332" s="120" t="s">
        <v>171</v>
      </c>
      <c r="G332" s="24">
        <v>230000</v>
      </c>
      <c r="H332" s="106"/>
      <c r="I332" s="225" t="s">
        <v>381</v>
      </c>
      <c r="J332" s="62"/>
      <c r="K332" s="233">
        <f t="shared" si="4"/>
        <v>230000</v>
      </c>
      <c r="L332" s="188"/>
      <c r="M332" s="80"/>
    </row>
    <row r="333" spans="2:13" ht="18.600000000000001" customHeight="1" x14ac:dyDescent="0.3">
      <c r="B333" s="188"/>
      <c r="C333" s="104"/>
      <c r="D333" s="105"/>
      <c r="E333" s="65"/>
      <c r="F333" s="120" t="s">
        <v>171</v>
      </c>
      <c r="G333" s="24">
        <v>150000</v>
      </c>
      <c r="H333" s="106"/>
      <c r="I333" s="225" t="s">
        <v>1313</v>
      </c>
      <c r="J333" s="62">
        <v>0</v>
      </c>
      <c r="K333" s="233">
        <f t="shared" si="4"/>
        <v>150000</v>
      </c>
      <c r="L333" s="188"/>
      <c r="M333" s="80"/>
    </row>
    <row r="334" spans="2:13" ht="18.600000000000001" customHeight="1" x14ac:dyDescent="0.3">
      <c r="B334" s="188"/>
      <c r="C334" s="104"/>
      <c r="D334" s="105"/>
      <c r="E334" s="65"/>
      <c r="F334" s="120" t="s">
        <v>171</v>
      </c>
      <c r="G334" s="24">
        <v>310000</v>
      </c>
      <c r="H334" s="106"/>
      <c r="I334" s="225" t="s">
        <v>1311</v>
      </c>
      <c r="J334" s="62">
        <v>0</v>
      </c>
      <c r="K334" s="233">
        <f t="shared" si="4"/>
        <v>310000</v>
      </c>
      <c r="L334" s="188"/>
      <c r="M334" s="80"/>
    </row>
    <row r="335" spans="2:13" ht="18.600000000000001" customHeight="1" x14ac:dyDescent="0.3">
      <c r="B335" s="188"/>
      <c r="C335" s="104"/>
      <c r="D335" s="105"/>
      <c r="E335" s="65"/>
      <c r="F335" s="120" t="s">
        <v>171</v>
      </c>
      <c r="G335" s="24">
        <v>420000</v>
      </c>
      <c r="H335" s="106"/>
      <c r="I335" s="225" t="s">
        <v>1364</v>
      </c>
      <c r="J335" s="62">
        <v>0</v>
      </c>
      <c r="K335" s="233">
        <f t="shared" si="4"/>
        <v>420000</v>
      </c>
      <c r="L335" s="188"/>
      <c r="M335" s="80"/>
    </row>
    <row r="336" spans="2:13" ht="18.600000000000001" customHeight="1" x14ac:dyDescent="0.3">
      <c r="B336" s="188"/>
      <c r="C336" s="104"/>
      <c r="D336" s="105"/>
      <c r="E336" s="65"/>
      <c r="F336" s="120" t="s">
        <v>1132</v>
      </c>
      <c r="G336" s="24">
        <v>230000</v>
      </c>
      <c r="H336" s="106"/>
      <c r="I336" s="225" t="s">
        <v>143</v>
      </c>
      <c r="J336" s="62">
        <v>0</v>
      </c>
      <c r="K336" s="233">
        <f t="shared" si="4"/>
        <v>230000</v>
      </c>
      <c r="L336" s="188"/>
      <c r="M336" s="80"/>
    </row>
    <row r="337" spans="2:13" ht="18.600000000000001" customHeight="1" x14ac:dyDescent="0.3">
      <c r="B337" s="188"/>
      <c r="C337" s="104"/>
      <c r="D337" s="105"/>
      <c r="E337" s="65"/>
      <c r="F337" s="120" t="s">
        <v>1132</v>
      </c>
      <c r="G337" s="24">
        <v>210000</v>
      </c>
      <c r="H337" s="106"/>
      <c r="I337" s="225" t="s">
        <v>102</v>
      </c>
      <c r="J337" s="62">
        <v>0</v>
      </c>
      <c r="K337" s="233">
        <f t="shared" si="4"/>
        <v>210000</v>
      </c>
      <c r="L337" s="188"/>
      <c r="M337" s="80"/>
    </row>
    <row r="338" spans="2:13" ht="18.600000000000001" customHeight="1" x14ac:dyDescent="0.3">
      <c r="B338" s="188"/>
      <c r="C338" s="104"/>
      <c r="D338" s="105"/>
      <c r="E338" s="65"/>
      <c r="F338" s="120" t="s">
        <v>1132</v>
      </c>
      <c r="G338" s="24">
        <v>320000</v>
      </c>
      <c r="H338" s="106"/>
      <c r="I338" s="225" t="s">
        <v>1130</v>
      </c>
      <c r="J338" s="62">
        <v>0</v>
      </c>
      <c r="K338" s="233">
        <f t="shared" si="4"/>
        <v>320000</v>
      </c>
      <c r="L338" s="188"/>
      <c r="M338" s="80"/>
    </row>
    <row r="339" spans="2:13" ht="18.600000000000001" customHeight="1" x14ac:dyDescent="0.3">
      <c r="B339" s="188"/>
      <c r="C339" s="104"/>
      <c r="D339" s="105"/>
      <c r="E339" s="65"/>
      <c r="F339" s="120" t="s">
        <v>1132</v>
      </c>
      <c r="G339" s="24">
        <v>330000</v>
      </c>
      <c r="H339" s="106"/>
      <c r="I339" s="225" t="s">
        <v>158</v>
      </c>
      <c r="J339" s="62">
        <v>0</v>
      </c>
      <c r="K339" s="233">
        <f t="shared" si="4"/>
        <v>330000</v>
      </c>
      <c r="L339" s="188"/>
      <c r="M339" s="80"/>
    </row>
    <row r="340" spans="2:13" ht="18.600000000000001" customHeight="1" x14ac:dyDescent="0.3">
      <c r="B340" s="188"/>
      <c r="C340" s="104"/>
      <c r="D340" s="105"/>
      <c r="E340" s="65"/>
      <c r="F340" s="120" t="s">
        <v>1132</v>
      </c>
      <c r="G340" s="24">
        <v>310000</v>
      </c>
      <c r="H340" s="106"/>
      <c r="I340" s="225" t="s">
        <v>159</v>
      </c>
      <c r="J340" s="62">
        <v>0</v>
      </c>
      <c r="K340" s="233">
        <f t="shared" si="4"/>
        <v>310000</v>
      </c>
      <c r="L340" s="188"/>
      <c r="M340" s="80"/>
    </row>
    <row r="341" spans="2:13" ht="18.600000000000001" customHeight="1" x14ac:dyDescent="0.3">
      <c r="B341" s="188"/>
      <c r="C341" s="104"/>
      <c r="D341" s="105"/>
      <c r="E341" s="65"/>
      <c r="F341" s="120" t="s">
        <v>1132</v>
      </c>
      <c r="G341" s="24">
        <v>420000</v>
      </c>
      <c r="H341" s="106"/>
      <c r="I341" s="225" t="s">
        <v>1136</v>
      </c>
      <c r="J341" s="62">
        <v>0</v>
      </c>
      <c r="K341" s="233">
        <f t="shared" si="4"/>
        <v>420000</v>
      </c>
      <c r="L341" s="188"/>
      <c r="M341" s="80"/>
    </row>
    <row r="342" spans="2:13" ht="18.600000000000001" customHeight="1" x14ac:dyDescent="0.3">
      <c r="B342" s="188"/>
      <c r="C342" s="104"/>
      <c r="D342" s="105"/>
      <c r="E342" s="65"/>
      <c r="F342" s="120" t="s">
        <v>1132</v>
      </c>
      <c r="G342" s="24">
        <v>230000</v>
      </c>
      <c r="H342" s="106"/>
      <c r="I342" s="225" t="s">
        <v>381</v>
      </c>
      <c r="J342" s="62"/>
      <c r="K342" s="233">
        <f t="shared" si="4"/>
        <v>230000</v>
      </c>
      <c r="L342" s="188"/>
      <c r="M342" s="80"/>
    </row>
    <row r="343" spans="2:13" ht="18.600000000000001" customHeight="1" x14ac:dyDescent="0.3">
      <c r="B343" s="188"/>
      <c r="C343" s="104"/>
      <c r="D343" s="105"/>
      <c r="E343" s="65"/>
      <c r="F343" s="120" t="s">
        <v>1267</v>
      </c>
      <c r="G343" s="24">
        <v>150000</v>
      </c>
      <c r="H343" s="106"/>
      <c r="I343" s="225" t="s">
        <v>1313</v>
      </c>
      <c r="J343" s="62">
        <v>0</v>
      </c>
      <c r="K343" s="233">
        <f t="shared" si="4"/>
        <v>150000</v>
      </c>
      <c r="L343" s="188"/>
      <c r="M343" s="80"/>
    </row>
    <row r="344" spans="2:13" ht="18.600000000000001" customHeight="1" x14ac:dyDescent="0.3">
      <c r="B344" s="188"/>
      <c r="C344" s="104"/>
      <c r="D344" s="105"/>
      <c r="E344" s="65"/>
      <c r="F344" s="120" t="s">
        <v>1267</v>
      </c>
      <c r="G344" s="24">
        <v>310000</v>
      </c>
      <c r="H344" s="106"/>
      <c r="I344" s="225" t="s">
        <v>1311</v>
      </c>
      <c r="J344" s="62">
        <v>0</v>
      </c>
      <c r="K344" s="233">
        <f t="shared" si="4"/>
        <v>310000</v>
      </c>
      <c r="L344" s="188"/>
      <c r="M344" s="80"/>
    </row>
    <row r="345" spans="2:13" ht="18.600000000000001" customHeight="1" x14ac:dyDescent="0.3">
      <c r="B345" s="188"/>
      <c r="C345" s="104"/>
      <c r="D345" s="105"/>
      <c r="E345" s="65"/>
      <c r="F345" s="120" t="s">
        <v>1267</v>
      </c>
      <c r="G345" s="24">
        <v>420000</v>
      </c>
      <c r="H345" s="106"/>
      <c r="I345" s="225" t="s">
        <v>1364</v>
      </c>
      <c r="J345" s="62">
        <v>0</v>
      </c>
      <c r="K345" s="233">
        <f t="shared" si="4"/>
        <v>420000</v>
      </c>
      <c r="L345" s="188"/>
      <c r="M345" s="80"/>
    </row>
    <row r="346" spans="2:13" ht="18.600000000000001" customHeight="1" x14ac:dyDescent="0.3">
      <c r="B346" s="188"/>
      <c r="C346" s="104"/>
      <c r="D346" s="105"/>
      <c r="E346" s="65"/>
      <c r="F346" s="120" t="s">
        <v>114</v>
      </c>
      <c r="G346" s="24">
        <v>280000</v>
      </c>
      <c r="H346" s="106"/>
      <c r="I346" s="225" t="s">
        <v>143</v>
      </c>
      <c r="J346" s="62">
        <v>0</v>
      </c>
      <c r="K346" s="233">
        <f t="shared" si="4"/>
        <v>280000</v>
      </c>
      <c r="L346" s="188"/>
      <c r="M346" s="80"/>
    </row>
    <row r="347" spans="2:13" ht="18.600000000000001" customHeight="1" x14ac:dyDescent="0.3">
      <c r="B347" s="188"/>
      <c r="C347" s="104"/>
      <c r="D347" s="105"/>
      <c r="E347" s="65"/>
      <c r="F347" s="120" t="s">
        <v>114</v>
      </c>
      <c r="G347" s="24">
        <v>160000</v>
      </c>
      <c r="H347" s="106"/>
      <c r="I347" s="225" t="s">
        <v>102</v>
      </c>
      <c r="J347" s="62">
        <v>0</v>
      </c>
      <c r="K347" s="233">
        <f t="shared" si="4"/>
        <v>160000</v>
      </c>
      <c r="L347" s="188"/>
      <c r="M347" s="80"/>
    </row>
    <row r="348" spans="2:13" ht="18.600000000000001" customHeight="1" x14ac:dyDescent="0.3">
      <c r="B348" s="188"/>
      <c r="C348" s="104"/>
      <c r="D348" s="105"/>
      <c r="E348" s="65"/>
      <c r="F348" s="120" t="s">
        <v>114</v>
      </c>
      <c r="G348" s="24">
        <v>320000</v>
      </c>
      <c r="H348" s="106"/>
      <c r="I348" s="225" t="s">
        <v>1130</v>
      </c>
      <c r="J348" s="62">
        <v>0</v>
      </c>
      <c r="K348" s="233">
        <f t="shared" si="4"/>
        <v>320000</v>
      </c>
      <c r="L348" s="188"/>
      <c r="M348" s="80"/>
    </row>
    <row r="349" spans="2:13" ht="18.600000000000001" customHeight="1" x14ac:dyDescent="0.3">
      <c r="B349" s="188"/>
      <c r="C349" s="104"/>
      <c r="D349" s="105"/>
      <c r="E349" s="65"/>
      <c r="F349" s="120" t="s">
        <v>114</v>
      </c>
      <c r="G349" s="24">
        <v>380000</v>
      </c>
      <c r="H349" s="106"/>
      <c r="I349" s="225" t="s">
        <v>158</v>
      </c>
      <c r="J349" s="62">
        <v>0</v>
      </c>
      <c r="K349" s="233">
        <f t="shared" si="4"/>
        <v>380000</v>
      </c>
      <c r="L349" s="188"/>
      <c r="M349" s="80"/>
    </row>
    <row r="350" spans="2:13" ht="18.600000000000001" customHeight="1" x14ac:dyDescent="0.3">
      <c r="B350" s="188"/>
      <c r="C350" s="104"/>
      <c r="D350" s="105"/>
      <c r="E350" s="65"/>
      <c r="F350" s="120" t="s">
        <v>114</v>
      </c>
      <c r="G350" s="24">
        <v>260000</v>
      </c>
      <c r="H350" s="106"/>
      <c r="I350" s="225" t="s">
        <v>159</v>
      </c>
      <c r="J350" s="62">
        <v>0</v>
      </c>
      <c r="K350" s="233">
        <f t="shared" si="4"/>
        <v>260000</v>
      </c>
      <c r="L350" s="188"/>
      <c r="M350" s="80"/>
    </row>
    <row r="351" spans="2:13" ht="18.600000000000001" customHeight="1" x14ac:dyDescent="0.3">
      <c r="B351" s="188"/>
      <c r="C351" s="104"/>
      <c r="D351" s="105"/>
      <c r="E351" s="65"/>
      <c r="F351" s="120" t="s">
        <v>114</v>
      </c>
      <c r="G351" s="24">
        <v>420000</v>
      </c>
      <c r="H351" s="106"/>
      <c r="I351" s="225" t="s">
        <v>1136</v>
      </c>
      <c r="J351" s="62">
        <v>0</v>
      </c>
      <c r="K351" s="233">
        <f t="shared" si="4"/>
        <v>420000</v>
      </c>
      <c r="L351" s="188"/>
      <c r="M351" s="80"/>
    </row>
    <row r="352" spans="2:13" ht="18.600000000000001" customHeight="1" x14ac:dyDescent="0.3">
      <c r="B352" s="188"/>
      <c r="C352" s="104"/>
      <c r="D352" s="105"/>
      <c r="E352" s="65"/>
      <c r="F352" s="120" t="s">
        <v>114</v>
      </c>
      <c r="G352" s="24">
        <v>280000</v>
      </c>
      <c r="H352" s="106"/>
      <c r="I352" s="225" t="s">
        <v>381</v>
      </c>
      <c r="J352" s="62"/>
      <c r="K352" s="233">
        <f t="shared" si="4"/>
        <v>280000</v>
      </c>
      <c r="L352" s="188"/>
      <c r="M352" s="80"/>
    </row>
    <row r="353" spans="2:13" ht="18.600000000000001" customHeight="1" x14ac:dyDescent="0.3">
      <c r="B353" s="188"/>
      <c r="C353" s="104"/>
      <c r="D353" s="105"/>
      <c r="E353" s="65"/>
      <c r="F353" s="120" t="s">
        <v>115</v>
      </c>
      <c r="G353" s="24">
        <v>180000</v>
      </c>
      <c r="H353" s="106"/>
      <c r="I353" s="225" t="s">
        <v>143</v>
      </c>
      <c r="J353" s="62">
        <v>0</v>
      </c>
      <c r="K353" s="233">
        <f t="shared" si="4"/>
        <v>180000</v>
      </c>
      <c r="L353" s="188"/>
      <c r="M353" s="80"/>
    </row>
    <row r="354" spans="2:13" ht="18.600000000000001" customHeight="1" x14ac:dyDescent="0.3">
      <c r="B354" s="188"/>
      <c r="C354" s="104"/>
      <c r="D354" s="105"/>
      <c r="E354" s="65"/>
      <c r="F354" s="120" t="s">
        <v>115</v>
      </c>
      <c r="G354" s="24">
        <v>160000</v>
      </c>
      <c r="H354" s="106"/>
      <c r="I354" s="225" t="s">
        <v>102</v>
      </c>
      <c r="J354" s="62">
        <v>0</v>
      </c>
      <c r="K354" s="233">
        <f t="shared" si="4"/>
        <v>160000</v>
      </c>
      <c r="L354" s="188"/>
      <c r="M354" s="80"/>
    </row>
    <row r="355" spans="2:13" ht="18.600000000000001" customHeight="1" x14ac:dyDescent="0.3">
      <c r="B355" s="188"/>
      <c r="C355" s="104"/>
      <c r="D355" s="105"/>
      <c r="E355" s="65"/>
      <c r="F355" s="120" t="s">
        <v>115</v>
      </c>
      <c r="G355" s="24">
        <v>320000</v>
      </c>
      <c r="H355" s="106"/>
      <c r="I355" s="225" t="s">
        <v>1130</v>
      </c>
      <c r="J355" s="62">
        <v>0</v>
      </c>
      <c r="K355" s="233">
        <f t="shared" si="4"/>
        <v>320000</v>
      </c>
      <c r="L355" s="188"/>
      <c r="M355" s="80"/>
    </row>
    <row r="356" spans="2:13" ht="18.600000000000001" customHeight="1" x14ac:dyDescent="0.3">
      <c r="B356" s="188"/>
      <c r="C356" s="104"/>
      <c r="D356" s="105"/>
      <c r="E356" s="65"/>
      <c r="F356" s="120" t="s">
        <v>115</v>
      </c>
      <c r="G356" s="24">
        <v>280000</v>
      </c>
      <c r="H356" s="106"/>
      <c r="I356" s="225" t="s">
        <v>158</v>
      </c>
      <c r="J356" s="62">
        <v>0</v>
      </c>
      <c r="K356" s="233">
        <f t="shared" si="4"/>
        <v>280000</v>
      </c>
      <c r="L356" s="188"/>
      <c r="M356" s="80"/>
    </row>
    <row r="357" spans="2:13" ht="18.600000000000001" customHeight="1" x14ac:dyDescent="0.3">
      <c r="B357" s="188"/>
      <c r="C357" s="104"/>
      <c r="D357" s="105"/>
      <c r="E357" s="65"/>
      <c r="F357" s="120" t="s">
        <v>115</v>
      </c>
      <c r="G357" s="24">
        <v>260000</v>
      </c>
      <c r="H357" s="106"/>
      <c r="I357" s="225" t="s">
        <v>159</v>
      </c>
      <c r="J357" s="62">
        <v>0</v>
      </c>
      <c r="K357" s="233">
        <f t="shared" si="4"/>
        <v>260000</v>
      </c>
      <c r="L357" s="188"/>
      <c r="M357" s="80"/>
    </row>
    <row r="358" spans="2:13" ht="18.600000000000001" customHeight="1" x14ac:dyDescent="0.3">
      <c r="B358" s="188"/>
      <c r="C358" s="104"/>
      <c r="D358" s="105"/>
      <c r="E358" s="65"/>
      <c r="F358" s="120" t="s">
        <v>115</v>
      </c>
      <c r="G358" s="24">
        <v>420000</v>
      </c>
      <c r="H358" s="106"/>
      <c r="I358" s="225" t="s">
        <v>1136</v>
      </c>
      <c r="J358" s="62">
        <v>0</v>
      </c>
      <c r="K358" s="233">
        <f t="shared" si="4"/>
        <v>420000</v>
      </c>
      <c r="L358" s="188"/>
      <c r="M358" s="80"/>
    </row>
    <row r="359" spans="2:13" ht="18.600000000000001" customHeight="1" x14ac:dyDescent="0.3">
      <c r="B359" s="188"/>
      <c r="C359" s="104"/>
      <c r="D359" s="105"/>
      <c r="E359" s="65"/>
      <c r="F359" s="120" t="s">
        <v>115</v>
      </c>
      <c r="G359" s="24">
        <v>180000</v>
      </c>
      <c r="H359" s="106"/>
      <c r="I359" s="225" t="s">
        <v>381</v>
      </c>
      <c r="J359" s="62"/>
      <c r="K359" s="233">
        <f t="shared" si="4"/>
        <v>180000</v>
      </c>
      <c r="L359" s="188"/>
      <c r="M359" s="80"/>
    </row>
    <row r="360" spans="2:13" ht="18.600000000000001" customHeight="1" x14ac:dyDescent="0.3">
      <c r="B360" s="188"/>
      <c r="C360" s="104"/>
      <c r="D360" s="105"/>
      <c r="E360" s="65"/>
      <c r="F360" s="120" t="s">
        <v>1164</v>
      </c>
      <c r="G360" s="24">
        <v>180000</v>
      </c>
      <c r="H360" s="106"/>
      <c r="I360" s="225" t="s">
        <v>143</v>
      </c>
      <c r="J360" s="62">
        <v>0</v>
      </c>
      <c r="K360" s="233">
        <f t="shared" si="4"/>
        <v>180000</v>
      </c>
      <c r="L360" s="188"/>
      <c r="M360" s="80"/>
    </row>
    <row r="361" spans="2:13" ht="18.600000000000001" customHeight="1" x14ac:dyDescent="0.3">
      <c r="B361" s="188"/>
      <c r="C361" s="104"/>
      <c r="D361" s="105"/>
      <c r="E361" s="65"/>
      <c r="F361" s="120" t="s">
        <v>1164</v>
      </c>
      <c r="G361" s="24">
        <v>160000</v>
      </c>
      <c r="H361" s="106"/>
      <c r="I361" s="225" t="s">
        <v>102</v>
      </c>
      <c r="J361" s="62">
        <v>0</v>
      </c>
      <c r="K361" s="233">
        <f t="shared" si="4"/>
        <v>160000</v>
      </c>
      <c r="L361" s="188"/>
      <c r="M361" s="80"/>
    </row>
    <row r="362" spans="2:13" ht="18.600000000000001" customHeight="1" x14ac:dyDescent="0.3">
      <c r="B362" s="188"/>
      <c r="C362" s="104"/>
      <c r="D362" s="105"/>
      <c r="E362" s="65"/>
      <c r="F362" s="120" t="s">
        <v>1164</v>
      </c>
      <c r="G362" s="24">
        <v>320000</v>
      </c>
      <c r="H362" s="106"/>
      <c r="I362" s="225" t="s">
        <v>1130</v>
      </c>
      <c r="J362" s="62">
        <v>0</v>
      </c>
      <c r="K362" s="233">
        <f t="shared" si="4"/>
        <v>320000</v>
      </c>
      <c r="L362" s="188"/>
      <c r="M362" s="80"/>
    </row>
    <row r="363" spans="2:13" ht="18.600000000000001" customHeight="1" x14ac:dyDescent="0.3">
      <c r="B363" s="188"/>
      <c r="C363" s="104"/>
      <c r="D363" s="105"/>
      <c r="E363" s="65"/>
      <c r="F363" s="120" t="s">
        <v>1164</v>
      </c>
      <c r="G363" s="24">
        <v>150000</v>
      </c>
      <c r="H363" s="106"/>
      <c r="I363" s="225" t="s">
        <v>1313</v>
      </c>
      <c r="J363" s="62">
        <v>0</v>
      </c>
      <c r="K363" s="233">
        <f t="shared" si="4"/>
        <v>150000</v>
      </c>
      <c r="L363" s="188"/>
      <c r="M363" s="80"/>
    </row>
    <row r="364" spans="2:13" ht="18.600000000000001" customHeight="1" x14ac:dyDescent="0.3">
      <c r="B364" s="188"/>
      <c r="C364" s="104"/>
      <c r="D364" s="105"/>
      <c r="E364" s="65"/>
      <c r="F364" s="120" t="s">
        <v>1164</v>
      </c>
      <c r="G364" s="24">
        <v>310000</v>
      </c>
      <c r="H364" s="106"/>
      <c r="I364" s="225" t="s">
        <v>1311</v>
      </c>
      <c r="J364" s="62">
        <v>0</v>
      </c>
      <c r="K364" s="233">
        <f t="shared" si="4"/>
        <v>310000</v>
      </c>
      <c r="L364" s="188"/>
      <c r="M364" s="80"/>
    </row>
    <row r="365" spans="2:13" ht="18.600000000000001" customHeight="1" x14ac:dyDescent="0.3">
      <c r="B365" s="188"/>
      <c r="C365" s="104"/>
      <c r="D365" s="105"/>
      <c r="E365" s="65"/>
      <c r="F365" s="120" t="s">
        <v>1164</v>
      </c>
      <c r="G365" s="24">
        <v>420000</v>
      </c>
      <c r="H365" s="106"/>
      <c r="I365" s="225" t="s">
        <v>1364</v>
      </c>
      <c r="J365" s="62">
        <v>0</v>
      </c>
      <c r="K365" s="233">
        <f t="shared" si="4"/>
        <v>420000</v>
      </c>
      <c r="L365" s="188"/>
      <c r="M365" s="80"/>
    </row>
    <row r="366" spans="2:13" ht="18.600000000000001" customHeight="1" x14ac:dyDescent="0.3">
      <c r="B366" s="188"/>
      <c r="C366" s="104"/>
      <c r="D366" s="105"/>
      <c r="E366" s="65"/>
      <c r="F366" s="120" t="s">
        <v>1164</v>
      </c>
      <c r="G366" s="24">
        <v>280000</v>
      </c>
      <c r="H366" s="106"/>
      <c r="I366" s="225" t="s">
        <v>158</v>
      </c>
      <c r="J366" s="62">
        <v>0</v>
      </c>
      <c r="K366" s="233">
        <f t="shared" si="4"/>
        <v>280000</v>
      </c>
      <c r="L366" s="188"/>
      <c r="M366" s="80"/>
    </row>
    <row r="367" spans="2:13" ht="18.600000000000001" customHeight="1" x14ac:dyDescent="0.3">
      <c r="B367" s="188"/>
      <c r="C367" s="104"/>
      <c r="D367" s="105"/>
      <c r="E367" s="65"/>
      <c r="F367" s="120" t="s">
        <v>1164</v>
      </c>
      <c r="G367" s="24">
        <v>260000</v>
      </c>
      <c r="H367" s="106"/>
      <c r="I367" s="225" t="s">
        <v>159</v>
      </c>
      <c r="J367" s="62">
        <v>0</v>
      </c>
      <c r="K367" s="233">
        <f t="shared" si="4"/>
        <v>260000</v>
      </c>
      <c r="L367" s="188"/>
      <c r="M367" s="80"/>
    </row>
    <row r="368" spans="2:13" ht="18.600000000000001" customHeight="1" x14ac:dyDescent="0.3">
      <c r="B368" s="188"/>
      <c r="C368" s="104"/>
      <c r="D368" s="105"/>
      <c r="E368" s="65"/>
      <c r="F368" s="120" t="s">
        <v>1164</v>
      </c>
      <c r="G368" s="24">
        <v>420000</v>
      </c>
      <c r="H368" s="106"/>
      <c r="I368" s="225" t="s">
        <v>1136</v>
      </c>
      <c r="J368" s="62">
        <v>0</v>
      </c>
      <c r="K368" s="233">
        <f t="shared" si="4"/>
        <v>420000</v>
      </c>
      <c r="L368" s="188"/>
      <c r="M368" s="80"/>
    </row>
    <row r="369" spans="1:13" ht="18.600000000000001" customHeight="1" x14ac:dyDescent="0.3">
      <c r="B369" s="188"/>
      <c r="C369" s="104"/>
      <c r="D369" s="105"/>
      <c r="E369" s="65"/>
      <c r="F369" s="120" t="s">
        <v>1164</v>
      </c>
      <c r="G369" s="24">
        <v>180000</v>
      </c>
      <c r="H369" s="106"/>
      <c r="I369" s="225" t="s">
        <v>381</v>
      </c>
      <c r="J369" s="62"/>
      <c r="K369" s="233">
        <f t="shared" si="4"/>
        <v>180000</v>
      </c>
      <c r="L369" s="188"/>
      <c r="M369" s="80"/>
    </row>
    <row r="370" spans="1:13" ht="18.600000000000001" customHeight="1" x14ac:dyDescent="0.3">
      <c r="B370" s="188"/>
      <c r="C370" s="104"/>
      <c r="D370" s="105"/>
      <c r="E370" s="65"/>
      <c r="F370" s="120" t="s">
        <v>126</v>
      </c>
      <c r="G370" s="24">
        <v>180000</v>
      </c>
      <c r="H370" s="106"/>
      <c r="I370" s="225" t="s">
        <v>143</v>
      </c>
      <c r="J370" s="62">
        <v>0</v>
      </c>
      <c r="K370" s="233">
        <f t="shared" si="4"/>
        <v>180000</v>
      </c>
      <c r="L370" s="188"/>
      <c r="M370" s="80"/>
    </row>
    <row r="371" spans="1:13" ht="18.600000000000001" customHeight="1" x14ac:dyDescent="0.3">
      <c r="B371" s="188"/>
      <c r="C371" s="104"/>
      <c r="D371" s="105"/>
      <c r="E371" s="65"/>
      <c r="F371" s="120" t="s">
        <v>126</v>
      </c>
      <c r="G371" s="24">
        <v>160000</v>
      </c>
      <c r="H371" s="106"/>
      <c r="I371" s="225" t="s">
        <v>102</v>
      </c>
      <c r="J371" s="62">
        <v>0</v>
      </c>
      <c r="K371" s="233">
        <f t="shared" si="4"/>
        <v>160000</v>
      </c>
      <c r="L371" s="188"/>
      <c r="M371" s="80"/>
    </row>
    <row r="372" spans="1:13" ht="18.600000000000001" customHeight="1" x14ac:dyDescent="0.3">
      <c r="B372" s="188"/>
      <c r="C372" s="104"/>
      <c r="D372" s="105"/>
      <c r="E372" s="65"/>
      <c r="F372" s="120" t="s">
        <v>126</v>
      </c>
      <c r="G372" s="24">
        <v>320000</v>
      </c>
      <c r="H372" s="106"/>
      <c r="I372" s="225" t="s">
        <v>1130</v>
      </c>
      <c r="J372" s="62">
        <v>0</v>
      </c>
      <c r="K372" s="233">
        <f t="shared" si="4"/>
        <v>320000</v>
      </c>
      <c r="L372" s="188"/>
      <c r="M372" s="80"/>
    </row>
    <row r="373" spans="1:13" ht="18.600000000000001" customHeight="1" x14ac:dyDescent="0.3">
      <c r="B373" s="188"/>
      <c r="C373" s="104"/>
      <c r="D373" s="105"/>
      <c r="E373" s="65"/>
      <c r="F373" s="120" t="s">
        <v>126</v>
      </c>
      <c r="G373" s="24">
        <v>280000</v>
      </c>
      <c r="H373" s="106"/>
      <c r="I373" s="225" t="s">
        <v>158</v>
      </c>
      <c r="J373" s="62">
        <v>0</v>
      </c>
      <c r="K373" s="233">
        <f t="shared" si="4"/>
        <v>280000</v>
      </c>
      <c r="L373" s="188"/>
      <c r="M373" s="80"/>
    </row>
    <row r="374" spans="1:13" ht="18.600000000000001" customHeight="1" x14ac:dyDescent="0.3">
      <c r="B374" s="188"/>
      <c r="C374" s="104"/>
      <c r="D374" s="105"/>
      <c r="E374" s="65"/>
      <c r="F374" s="120" t="s">
        <v>126</v>
      </c>
      <c r="G374" s="24">
        <v>260000</v>
      </c>
      <c r="H374" s="106"/>
      <c r="I374" s="225" t="s">
        <v>159</v>
      </c>
      <c r="J374" s="62">
        <v>0</v>
      </c>
      <c r="K374" s="233">
        <f t="shared" si="4"/>
        <v>260000</v>
      </c>
      <c r="L374" s="188"/>
      <c r="M374" s="80"/>
    </row>
    <row r="375" spans="1:13" ht="18.600000000000001" customHeight="1" x14ac:dyDescent="0.3">
      <c r="B375" s="188"/>
      <c r="C375" s="104"/>
      <c r="D375" s="105"/>
      <c r="E375" s="65"/>
      <c r="F375" s="120" t="s">
        <v>126</v>
      </c>
      <c r="G375" s="24">
        <v>420000</v>
      </c>
      <c r="H375" s="106"/>
      <c r="I375" s="225" t="s">
        <v>1136</v>
      </c>
      <c r="J375" s="62">
        <v>0</v>
      </c>
      <c r="K375" s="233">
        <f t="shared" si="4"/>
        <v>420000</v>
      </c>
      <c r="L375" s="188"/>
      <c r="M375" s="80"/>
    </row>
    <row r="376" spans="1:13" ht="18.600000000000001" customHeight="1" x14ac:dyDescent="0.3">
      <c r="B376" s="188"/>
      <c r="C376" s="104"/>
      <c r="D376" s="105"/>
      <c r="E376" s="65"/>
      <c r="F376" s="120" t="s">
        <v>126</v>
      </c>
      <c r="G376" s="24">
        <v>180000</v>
      </c>
      <c r="H376" s="106"/>
      <c r="I376" s="225" t="s">
        <v>381</v>
      </c>
      <c r="J376" s="62"/>
      <c r="K376" s="233">
        <f t="shared" si="4"/>
        <v>180000</v>
      </c>
      <c r="L376" s="188"/>
      <c r="M376" s="80"/>
    </row>
    <row r="377" spans="1:13" ht="18.600000000000001" customHeight="1" x14ac:dyDescent="0.3">
      <c r="B377" s="188"/>
      <c r="C377" s="104"/>
      <c r="D377" s="105"/>
      <c r="E377" s="65"/>
      <c r="F377" s="120" t="s">
        <v>127</v>
      </c>
      <c r="G377" s="24">
        <v>180000</v>
      </c>
      <c r="H377" s="106"/>
      <c r="I377" s="225" t="s">
        <v>143</v>
      </c>
      <c r="J377" s="62">
        <v>0</v>
      </c>
      <c r="K377" s="233">
        <f t="shared" si="4"/>
        <v>180000</v>
      </c>
      <c r="L377" s="188"/>
      <c r="M377" s="80"/>
    </row>
    <row r="378" spans="1:13" ht="18.600000000000001" customHeight="1" x14ac:dyDescent="0.3">
      <c r="B378" s="188"/>
      <c r="C378" s="104"/>
      <c r="D378" s="105"/>
      <c r="E378" s="65"/>
      <c r="F378" s="120" t="s">
        <v>127</v>
      </c>
      <c r="G378" s="24">
        <v>160000</v>
      </c>
      <c r="H378" s="106"/>
      <c r="I378" s="225" t="s">
        <v>102</v>
      </c>
      <c r="J378" s="62">
        <v>0</v>
      </c>
      <c r="K378" s="233">
        <f t="shared" si="4"/>
        <v>160000</v>
      </c>
      <c r="L378" s="188"/>
      <c r="M378" s="80"/>
    </row>
    <row r="379" spans="1:13" ht="18.600000000000001" customHeight="1" x14ac:dyDescent="0.3">
      <c r="B379" s="114"/>
      <c r="C379" s="82"/>
      <c r="D379" s="82"/>
      <c r="E379" s="82"/>
      <c r="F379" s="43" t="s">
        <v>127</v>
      </c>
      <c r="G379" s="24">
        <v>320000</v>
      </c>
      <c r="H379" s="82"/>
      <c r="I379" s="236" t="s">
        <v>1130</v>
      </c>
      <c r="J379" s="62">
        <v>0</v>
      </c>
      <c r="K379" s="233">
        <f t="shared" si="4"/>
        <v>320000</v>
      </c>
      <c r="L379" s="82"/>
      <c r="M379" s="89"/>
    </row>
    <row r="380" spans="1:13" ht="18.600000000000001" customHeight="1" x14ac:dyDescent="0.3">
      <c r="B380" s="84"/>
      <c r="C380" s="84"/>
      <c r="D380" s="84"/>
      <c r="E380" s="84"/>
      <c r="F380" s="43" t="s">
        <v>127</v>
      </c>
      <c r="G380" s="115">
        <v>280000</v>
      </c>
      <c r="H380" s="84"/>
      <c r="I380" s="236" t="s">
        <v>158</v>
      </c>
      <c r="J380" s="62">
        <v>0</v>
      </c>
      <c r="K380" s="233">
        <f t="shared" ref="K380:K437" si="5">G380+J380</f>
        <v>280000</v>
      </c>
      <c r="L380" s="84"/>
      <c r="M380" s="89"/>
    </row>
    <row r="381" spans="1:13" ht="18.600000000000001" customHeight="1" x14ac:dyDescent="0.3">
      <c r="A381" s="38"/>
      <c r="B381" s="84"/>
      <c r="C381" s="84"/>
      <c r="D381" s="84"/>
      <c r="E381" s="82"/>
      <c r="F381" s="43" t="s">
        <v>127</v>
      </c>
      <c r="G381" s="24">
        <v>260000</v>
      </c>
      <c r="H381" s="82"/>
      <c r="I381" s="236" t="s">
        <v>159</v>
      </c>
      <c r="J381" s="62">
        <v>0</v>
      </c>
      <c r="K381" s="233">
        <f t="shared" si="5"/>
        <v>260000</v>
      </c>
      <c r="L381" s="84"/>
      <c r="M381" s="89"/>
    </row>
    <row r="382" spans="1:13" ht="18.600000000000001" customHeight="1" x14ac:dyDescent="0.3">
      <c r="A382" s="38"/>
      <c r="B382" s="82"/>
      <c r="C382" s="116"/>
      <c r="D382" s="274"/>
      <c r="E382" s="82"/>
      <c r="F382" s="120" t="s">
        <v>127</v>
      </c>
      <c r="G382" s="110">
        <v>420000</v>
      </c>
      <c r="H382" s="82"/>
      <c r="I382" s="225" t="s">
        <v>1136</v>
      </c>
      <c r="J382" s="62">
        <v>0</v>
      </c>
      <c r="K382" s="233">
        <f t="shared" si="5"/>
        <v>420000</v>
      </c>
      <c r="L382" s="82"/>
      <c r="M382" s="89"/>
    </row>
    <row r="383" spans="1:13" ht="18.600000000000001" customHeight="1" x14ac:dyDescent="0.3">
      <c r="A383" s="38"/>
      <c r="B383" s="82"/>
      <c r="C383" s="116"/>
      <c r="D383" s="274"/>
      <c r="E383" s="82"/>
      <c r="F383" s="120" t="s">
        <v>127</v>
      </c>
      <c r="G383" s="110">
        <v>180000</v>
      </c>
      <c r="H383" s="82"/>
      <c r="I383" s="225" t="s">
        <v>381</v>
      </c>
      <c r="J383" s="62"/>
      <c r="K383" s="233">
        <f t="shared" si="5"/>
        <v>180000</v>
      </c>
      <c r="L383" s="82"/>
      <c r="M383" s="89"/>
    </row>
    <row r="384" spans="1:13" ht="18.600000000000001" customHeight="1" x14ac:dyDescent="0.3">
      <c r="A384" s="38"/>
      <c r="B384" s="84"/>
      <c r="C384" s="95"/>
      <c r="D384" s="96"/>
      <c r="E384" s="82"/>
      <c r="F384" s="120" t="s">
        <v>147</v>
      </c>
      <c r="G384" s="110">
        <v>130000</v>
      </c>
      <c r="H384" s="82"/>
      <c r="I384" s="225" t="s">
        <v>143</v>
      </c>
      <c r="J384" s="62">
        <v>0</v>
      </c>
      <c r="K384" s="233">
        <f t="shared" si="5"/>
        <v>130000</v>
      </c>
      <c r="L384" s="82"/>
      <c r="M384" s="89"/>
    </row>
    <row r="385" spans="1:12" ht="18.600000000000001" customHeight="1" x14ac:dyDescent="0.3">
      <c r="A385" s="38"/>
      <c r="B385" s="84"/>
      <c r="C385" s="95"/>
      <c r="D385" s="96"/>
      <c r="E385" s="82"/>
      <c r="F385" s="120" t="s">
        <v>147</v>
      </c>
      <c r="G385" s="110">
        <v>110000</v>
      </c>
      <c r="H385" s="82"/>
      <c r="I385" s="225" t="s">
        <v>102</v>
      </c>
      <c r="J385" s="62">
        <v>0</v>
      </c>
      <c r="K385" s="233">
        <f t="shared" si="5"/>
        <v>110000</v>
      </c>
      <c r="L385" s="82"/>
    </row>
    <row r="386" spans="1:12" ht="18.600000000000001" customHeight="1" x14ac:dyDescent="0.3">
      <c r="A386" s="38"/>
      <c r="B386" s="84"/>
      <c r="C386" s="95"/>
      <c r="D386" s="96"/>
      <c r="E386" s="82"/>
      <c r="F386" s="120" t="s">
        <v>147</v>
      </c>
      <c r="G386" s="110">
        <v>150000</v>
      </c>
      <c r="H386" s="82"/>
      <c r="I386" s="225" t="s">
        <v>1130</v>
      </c>
      <c r="J386" s="62">
        <v>0</v>
      </c>
      <c r="K386" s="233">
        <f t="shared" si="5"/>
        <v>150000</v>
      </c>
      <c r="L386" s="82"/>
    </row>
    <row r="387" spans="1:12" ht="18.600000000000001" customHeight="1" x14ac:dyDescent="0.3">
      <c r="A387" s="38"/>
      <c r="B387" s="84"/>
      <c r="C387" s="95"/>
      <c r="D387" s="96"/>
      <c r="E387" s="82"/>
      <c r="F387" s="120" t="s">
        <v>147</v>
      </c>
      <c r="G387" s="110">
        <v>230000</v>
      </c>
      <c r="H387" s="82"/>
      <c r="I387" s="225" t="s">
        <v>158</v>
      </c>
      <c r="J387" s="62">
        <v>0</v>
      </c>
      <c r="K387" s="233">
        <f t="shared" si="5"/>
        <v>230000</v>
      </c>
      <c r="L387" s="82"/>
    </row>
    <row r="388" spans="1:12" ht="18.600000000000001" customHeight="1" x14ac:dyDescent="0.3">
      <c r="A388" s="38"/>
      <c r="B388" s="84"/>
      <c r="C388" s="95"/>
      <c r="D388" s="96"/>
      <c r="E388" s="82"/>
      <c r="F388" s="120" t="s">
        <v>147</v>
      </c>
      <c r="G388" s="110">
        <v>210000</v>
      </c>
      <c r="H388" s="82"/>
      <c r="I388" s="225" t="s">
        <v>159</v>
      </c>
      <c r="J388" s="62">
        <v>0</v>
      </c>
      <c r="K388" s="233">
        <f t="shared" si="5"/>
        <v>210000</v>
      </c>
      <c r="L388" s="82"/>
    </row>
    <row r="389" spans="1:12" ht="18.600000000000001" customHeight="1" x14ac:dyDescent="0.3">
      <c r="A389" s="38"/>
      <c r="B389" s="84"/>
      <c r="C389" s="95"/>
      <c r="D389" s="96"/>
      <c r="E389" s="82"/>
      <c r="F389" s="120" t="s">
        <v>147</v>
      </c>
      <c r="G389" s="110">
        <v>250000</v>
      </c>
      <c r="H389" s="82"/>
      <c r="I389" s="225" t="s">
        <v>1136</v>
      </c>
      <c r="J389" s="62">
        <v>0</v>
      </c>
      <c r="K389" s="233">
        <f t="shared" si="5"/>
        <v>250000</v>
      </c>
      <c r="L389" s="82"/>
    </row>
    <row r="390" spans="1:12" ht="18.600000000000001" customHeight="1" x14ac:dyDescent="0.3">
      <c r="A390" s="38"/>
      <c r="B390" s="84"/>
      <c r="C390" s="95"/>
      <c r="D390" s="96"/>
      <c r="E390" s="82"/>
      <c r="F390" s="120" t="s">
        <v>129</v>
      </c>
      <c r="G390" s="110">
        <v>130000</v>
      </c>
      <c r="H390" s="82"/>
      <c r="I390" s="225" t="s">
        <v>143</v>
      </c>
      <c r="J390" s="62">
        <v>0</v>
      </c>
      <c r="K390" s="233">
        <f t="shared" si="5"/>
        <v>130000</v>
      </c>
      <c r="L390" s="82"/>
    </row>
    <row r="391" spans="1:12" ht="18.600000000000001" customHeight="1" x14ac:dyDescent="0.3">
      <c r="A391" s="38"/>
      <c r="B391" s="84"/>
      <c r="C391" s="95"/>
      <c r="D391" s="96"/>
      <c r="E391" s="82"/>
      <c r="F391" s="120" t="s">
        <v>129</v>
      </c>
      <c r="G391" s="110">
        <v>110000</v>
      </c>
      <c r="H391" s="82"/>
      <c r="I391" s="225" t="s">
        <v>102</v>
      </c>
      <c r="J391" s="62">
        <v>0</v>
      </c>
      <c r="K391" s="233">
        <f t="shared" si="5"/>
        <v>110000</v>
      </c>
      <c r="L391" s="82"/>
    </row>
    <row r="392" spans="1:12" ht="18.600000000000001" customHeight="1" x14ac:dyDescent="0.3">
      <c r="A392" s="38"/>
      <c r="B392" s="84"/>
      <c r="C392" s="95"/>
      <c r="D392" s="96"/>
      <c r="E392" s="82"/>
      <c r="F392" s="120" t="s">
        <v>129</v>
      </c>
      <c r="G392" s="110">
        <v>150000</v>
      </c>
      <c r="H392" s="82"/>
      <c r="I392" s="225" t="s">
        <v>1130</v>
      </c>
      <c r="J392" s="62">
        <v>0</v>
      </c>
      <c r="K392" s="233">
        <f t="shared" si="5"/>
        <v>150000</v>
      </c>
      <c r="L392" s="82"/>
    </row>
    <row r="393" spans="1:12" ht="18" customHeight="1" x14ac:dyDescent="0.3">
      <c r="B393" s="84"/>
      <c r="C393" s="95"/>
      <c r="D393" s="96"/>
      <c r="E393" s="82"/>
      <c r="F393" s="120" t="s">
        <v>129</v>
      </c>
      <c r="G393" s="110">
        <v>230000</v>
      </c>
      <c r="H393" s="82"/>
      <c r="I393" s="225" t="s">
        <v>158</v>
      </c>
      <c r="J393" s="62">
        <v>0</v>
      </c>
      <c r="K393" s="233">
        <f t="shared" si="5"/>
        <v>230000</v>
      </c>
      <c r="L393" s="82"/>
    </row>
    <row r="394" spans="1:12" ht="18.600000000000001" customHeight="1" x14ac:dyDescent="0.3">
      <c r="B394" s="84"/>
      <c r="C394" s="95"/>
      <c r="D394" s="96"/>
      <c r="E394" s="82"/>
      <c r="F394" s="120" t="s">
        <v>129</v>
      </c>
      <c r="G394" s="110">
        <v>210000</v>
      </c>
      <c r="H394" s="82"/>
      <c r="I394" s="225" t="s">
        <v>159</v>
      </c>
      <c r="J394" s="62">
        <v>0</v>
      </c>
      <c r="K394" s="233">
        <f t="shared" si="5"/>
        <v>210000</v>
      </c>
      <c r="L394" s="82"/>
    </row>
    <row r="395" spans="1:12" ht="18.600000000000001" customHeight="1" x14ac:dyDescent="0.3">
      <c r="B395" s="84"/>
      <c r="C395" s="95"/>
      <c r="D395" s="96"/>
      <c r="E395" s="82"/>
      <c r="F395" s="120" t="s">
        <v>129</v>
      </c>
      <c r="G395" s="110">
        <v>250000</v>
      </c>
      <c r="H395" s="82"/>
      <c r="I395" s="225" t="s">
        <v>1136</v>
      </c>
      <c r="J395" s="62">
        <v>0</v>
      </c>
      <c r="K395" s="233">
        <f t="shared" si="5"/>
        <v>250000</v>
      </c>
      <c r="L395" s="82"/>
    </row>
    <row r="396" spans="1:12" ht="18.600000000000001" customHeight="1" x14ac:dyDescent="0.3">
      <c r="B396" s="112"/>
      <c r="C396" s="117"/>
      <c r="D396" s="117"/>
      <c r="E396" s="117"/>
      <c r="F396" s="164" t="s">
        <v>151</v>
      </c>
      <c r="G396" s="119">
        <v>130000</v>
      </c>
      <c r="H396" s="77"/>
      <c r="I396" s="225" t="s">
        <v>143</v>
      </c>
      <c r="J396" s="62">
        <v>0</v>
      </c>
      <c r="K396" s="233">
        <f t="shared" si="5"/>
        <v>130000</v>
      </c>
      <c r="L396" s="77"/>
    </row>
    <row r="397" spans="1:12" ht="18.600000000000001" customHeight="1" x14ac:dyDescent="0.3">
      <c r="B397" s="112"/>
      <c r="C397" s="117"/>
      <c r="D397" s="117"/>
      <c r="E397" s="117"/>
      <c r="F397" s="164" t="s">
        <v>151</v>
      </c>
      <c r="G397" s="119">
        <v>110000</v>
      </c>
      <c r="H397" s="77"/>
      <c r="I397" s="225" t="s">
        <v>102</v>
      </c>
      <c r="J397" s="62">
        <v>0</v>
      </c>
      <c r="K397" s="233">
        <f t="shared" si="5"/>
        <v>110000</v>
      </c>
      <c r="L397" s="77"/>
    </row>
    <row r="398" spans="1:12" ht="18.600000000000001" customHeight="1" x14ac:dyDescent="0.3">
      <c r="B398" s="112"/>
      <c r="C398" s="117"/>
      <c r="D398" s="117"/>
      <c r="E398" s="117"/>
      <c r="F398" s="164" t="s">
        <v>151</v>
      </c>
      <c r="G398" s="119">
        <v>150000</v>
      </c>
      <c r="H398" s="77"/>
      <c r="I398" s="225" t="s">
        <v>1130</v>
      </c>
      <c r="J398" s="62">
        <v>0</v>
      </c>
      <c r="K398" s="233">
        <f t="shared" si="5"/>
        <v>150000</v>
      </c>
      <c r="L398" s="77"/>
    </row>
    <row r="399" spans="1:12" ht="18.600000000000001" customHeight="1" x14ac:dyDescent="0.3">
      <c r="B399" s="112"/>
      <c r="C399" s="117"/>
      <c r="D399" s="117"/>
      <c r="E399" s="117"/>
      <c r="F399" s="164" t="s">
        <v>151</v>
      </c>
      <c r="G399" s="119">
        <v>230000</v>
      </c>
      <c r="H399" s="77"/>
      <c r="I399" s="225" t="s">
        <v>158</v>
      </c>
      <c r="J399" s="62">
        <v>0</v>
      </c>
      <c r="K399" s="233">
        <f t="shared" si="5"/>
        <v>230000</v>
      </c>
      <c r="L399" s="77"/>
    </row>
    <row r="400" spans="1:12" ht="18.600000000000001" customHeight="1" x14ac:dyDescent="0.3">
      <c r="B400" s="112"/>
      <c r="C400" s="117"/>
      <c r="D400" s="117"/>
      <c r="E400" s="117"/>
      <c r="F400" s="164" t="s">
        <v>151</v>
      </c>
      <c r="G400" s="119">
        <v>210000</v>
      </c>
      <c r="H400" s="77"/>
      <c r="I400" s="225" t="s">
        <v>159</v>
      </c>
      <c r="J400" s="62">
        <v>0</v>
      </c>
      <c r="K400" s="233">
        <f t="shared" si="5"/>
        <v>210000</v>
      </c>
      <c r="L400" s="77"/>
    </row>
    <row r="401" spans="2:12" ht="18.600000000000001" customHeight="1" x14ac:dyDescent="0.3">
      <c r="B401" s="112"/>
      <c r="C401" s="117"/>
      <c r="D401" s="117"/>
      <c r="E401" s="117"/>
      <c r="F401" s="164" t="s">
        <v>151</v>
      </c>
      <c r="G401" s="119">
        <v>250000</v>
      </c>
      <c r="H401" s="77"/>
      <c r="I401" s="225" t="s">
        <v>1136</v>
      </c>
      <c r="J401" s="62">
        <v>0</v>
      </c>
      <c r="K401" s="233">
        <f t="shared" si="5"/>
        <v>250000</v>
      </c>
      <c r="L401" s="77"/>
    </row>
    <row r="402" spans="2:12" ht="18.600000000000001" customHeight="1" x14ac:dyDescent="0.3">
      <c r="B402" s="112"/>
      <c r="C402" s="117"/>
      <c r="D402" s="117"/>
      <c r="E402" s="117"/>
      <c r="F402" s="164" t="s">
        <v>1280</v>
      </c>
      <c r="G402" s="119">
        <v>150000</v>
      </c>
      <c r="H402" s="77"/>
      <c r="I402" s="225" t="s">
        <v>1313</v>
      </c>
      <c r="J402" s="62">
        <v>0</v>
      </c>
      <c r="K402" s="233">
        <f t="shared" si="5"/>
        <v>150000</v>
      </c>
      <c r="L402" s="77"/>
    </row>
    <row r="403" spans="2:12" ht="18.600000000000001" customHeight="1" x14ac:dyDescent="0.3">
      <c r="B403" s="112"/>
      <c r="C403" s="117"/>
      <c r="D403" s="117"/>
      <c r="E403" s="117"/>
      <c r="F403" s="164" t="s">
        <v>1280</v>
      </c>
      <c r="G403" s="119">
        <v>310000</v>
      </c>
      <c r="H403" s="77"/>
      <c r="I403" s="225" t="s">
        <v>1311</v>
      </c>
      <c r="J403" s="62">
        <v>0</v>
      </c>
      <c r="K403" s="233">
        <f t="shared" si="5"/>
        <v>310000</v>
      </c>
      <c r="L403" s="77"/>
    </row>
    <row r="404" spans="2:12" ht="18.600000000000001" customHeight="1" x14ac:dyDescent="0.3">
      <c r="B404" s="112"/>
      <c r="C404" s="117"/>
      <c r="D404" s="117"/>
      <c r="E404" s="117"/>
      <c r="F404" s="164" t="s">
        <v>1280</v>
      </c>
      <c r="G404" s="119">
        <v>420000</v>
      </c>
      <c r="H404" s="77"/>
      <c r="I404" s="225" t="s">
        <v>1364</v>
      </c>
      <c r="J404" s="62">
        <v>0</v>
      </c>
      <c r="K404" s="233">
        <f t="shared" si="5"/>
        <v>420000</v>
      </c>
      <c r="L404" s="77"/>
    </row>
    <row r="405" spans="2:12" ht="18.600000000000001" customHeight="1" x14ac:dyDescent="0.3">
      <c r="B405" s="112"/>
      <c r="C405" s="117"/>
      <c r="D405" s="117"/>
      <c r="E405" s="117"/>
      <c r="F405" s="164" t="s">
        <v>139</v>
      </c>
      <c r="G405" s="119">
        <v>130000</v>
      </c>
      <c r="H405" s="77"/>
      <c r="I405" s="225" t="s">
        <v>143</v>
      </c>
      <c r="J405" s="62">
        <v>0</v>
      </c>
      <c r="K405" s="233">
        <f t="shared" si="5"/>
        <v>130000</v>
      </c>
      <c r="L405" s="77"/>
    </row>
    <row r="406" spans="2:12" ht="18.600000000000001" customHeight="1" x14ac:dyDescent="0.3">
      <c r="B406" s="112"/>
      <c r="C406" s="117"/>
      <c r="D406" s="117"/>
      <c r="E406" s="117"/>
      <c r="F406" s="164" t="s">
        <v>139</v>
      </c>
      <c r="G406" s="119">
        <v>110000</v>
      </c>
      <c r="H406" s="77"/>
      <c r="I406" s="225" t="s">
        <v>102</v>
      </c>
      <c r="J406" s="62">
        <v>0</v>
      </c>
      <c r="K406" s="233">
        <f t="shared" si="5"/>
        <v>110000</v>
      </c>
      <c r="L406" s="77"/>
    </row>
    <row r="407" spans="2:12" ht="18.600000000000001" customHeight="1" x14ac:dyDescent="0.3">
      <c r="B407" s="84"/>
      <c r="C407" s="95"/>
      <c r="D407" s="96"/>
      <c r="E407" s="82"/>
      <c r="F407" s="120" t="s">
        <v>139</v>
      </c>
      <c r="G407" s="110">
        <v>150000</v>
      </c>
      <c r="H407" s="82"/>
      <c r="I407" s="225" t="s">
        <v>1130</v>
      </c>
      <c r="J407" s="62">
        <v>0</v>
      </c>
      <c r="K407" s="233">
        <f t="shared" si="5"/>
        <v>150000</v>
      </c>
      <c r="L407" s="82"/>
    </row>
    <row r="408" spans="2:12" ht="18" customHeight="1" x14ac:dyDescent="0.3">
      <c r="B408" s="84"/>
      <c r="C408" s="95"/>
      <c r="D408" s="96"/>
      <c r="E408" s="82"/>
      <c r="F408" s="120" t="s">
        <v>139</v>
      </c>
      <c r="G408" s="110">
        <v>230000</v>
      </c>
      <c r="H408" s="82"/>
      <c r="I408" s="225" t="s">
        <v>158</v>
      </c>
      <c r="J408" s="62">
        <v>0</v>
      </c>
      <c r="K408" s="233">
        <f t="shared" si="5"/>
        <v>230000</v>
      </c>
      <c r="L408" s="82"/>
    </row>
    <row r="409" spans="2:12" ht="18.600000000000001" customHeight="1" x14ac:dyDescent="0.3">
      <c r="B409" s="84"/>
      <c r="C409" s="95"/>
      <c r="D409" s="96"/>
      <c r="E409" s="82"/>
      <c r="F409" s="120" t="s">
        <v>139</v>
      </c>
      <c r="G409" s="110">
        <v>210000</v>
      </c>
      <c r="H409" s="82"/>
      <c r="I409" s="225" t="s">
        <v>159</v>
      </c>
      <c r="J409" s="62">
        <v>0</v>
      </c>
      <c r="K409" s="233">
        <f t="shared" si="5"/>
        <v>210000</v>
      </c>
      <c r="L409" s="82"/>
    </row>
    <row r="410" spans="2:12" ht="18.600000000000001" customHeight="1" x14ac:dyDescent="0.3">
      <c r="B410" s="84"/>
      <c r="C410" s="95"/>
      <c r="D410" s="96"/>
      <c r="E410" s="82"/>
      <c r="F410" s="120" t="s">
        <v>139</v>
      </c>
      <c r="G410" s="110">
        <v>250000</v>
      </c>
      <c r="H410" s="82"/>
      <c r="I410" s="225" t="s">
        <v>1136</v>
      </c>
      <c r="J410" s="62">
        <v>0</v>
      </c>
      <c r="K410" s="233">
        <f t="shared" si="5"/>
        <v>250000</v>
      </c>
      <c r="L410" s="82"/>
    </row>
    <row r="411" spans="2:12" ht="18.600000000000001" customHeight="1" x14ac:dyDescent="0.3">
      <c r="B411" s="84"/>
      <c r="C411" s="95"/>
      <c r="D411" s="96"/>
      <c r="E411" s="82"/>
      <c r="F411" s="120" t="s">
        <v>1263</v>
      </c>
      <c r="G411" s="110">
        <v>150000</v>
      </c>
      <c r="H411" s="82"/>
      <c r="I411" s="225" t="s">
        <v>1313</v>
      </c>
      <c r="J411" s="62">
        <v>0</v>
      </c>
      <c r="K411" s="233">
        <f t="shared" si="5"/>
        <v>150000</v>
      </c>
      <c r="L411" s="82"/>
    </row>
    <row r="412" spans="2:12" ht="18.600000000000001" customHeight="1" x14ac:dyDescent="0.3">
      <c r="B412" s="112"/>
      <c r="C412" s="117"/>
      <c r="D412" s="117"/>
      <c r="E412" s="117"/>
      <c r="F412" s="164" t="s">
        <v>1263</v>
      </c>
      <c r="G412" s="119">
        <v>310000</v>
      </c>
      <c r="H412" s="77"/>
      <c r="I412" s="225" t="s">
        <v>1311</v>
      </c>
      <c r="J412" s="62">
        <v>0</v>
      </c>
      <c r="K412" s="233">
        <f t="shared" si="5"/>
        <v>310000</v>
      </c>
      <c r="L412" s="77"/>
    </row>
    <row r="413" spans="2:12" ht="18.600000000000001" customHeight="1" x14ac:dyDescent="0.3">
      <c r="B413" s="112"/>
      <c r="C413" s="117"/>
      <c r="D413" s="117"/>
      <c r="E413" s="117"/>
      <c r="F413" s="164" t="s">
        <v>1263</v>
      </c>
      <c r="G413" s="119">
        <v>420000</v>
      </c>
      <c r="H413" s="77"/>
      <c r="I413" s="225" t="s">
        <v>1364</v>
      </c>
      <c r="J413" s="62">
        <v>0</v>
      </c>
      <c r="K413" s="233">
        <f t="shared" si="5"/>
        <v>420000</v>
      </c>
      <c r="L413" s="77"/>
    </row>
    <row r="414" spans="2:12" ht="18.600000000000001" customHeight="1" x14ac:dyDescent="0.3">
      <c r="B414" s="112"/>
      <c r="C414" s="117"/>
      <c r="D414" s="117"/>
      <c r="E414" s="117"/>
      <c r="F414" s="164" t="s">
        <v>1133</v>
      </c>
      <c r="G414" s="119">
        <v>130000</v>
      </c>
      <c r="H414" s="77"/>
      <c r="I414" s="225" t="s">
        <v>143</v>
      </c>
      <c r="J414" s="62">
        <v>0</v>
      </c>
      <c r="K414" s="233">
        <f t="shared" si="5"/>
        <v>130000</v>
      </c>
      <c r="L414" s="77"/>
    </row>
    <row r="415" spans="2:12" ht="18.600000000000001" customHeight="1" x14ac:dyDescent="0.3">
      <c r="B415" s="112"/>
      <c r="C415" s="117"/>
      <c r="D415" s="117"/>
      <c r="E415" s="117"/>
      <c r="F415" s="164" t="s">
        <v>1133</v>
      </c>
      <c r="G415" s="119">
        <v>110000</v>
      </c>
      <c r="H415" s="77"/>
      <c r="I415" s="225" t="s">
        <v>102</v>
      </c>
      <c r="J415" s="62">
        <v>0</v>
      </c>
      <c r="K415" s="233">
        <f t="shared" si="5"/>
        <v>110000</v>
      </c>
      <c r="L415" s="77"/>
    </row>
    <row r="416" spans="2:12" ht="18.600000000000001" customHeight="1" x14ac:dyDescent="0.3">
      <c r="B416" s="112"/>
      <c r="C416" s="117"/>
      <c r="D416" s="117"/>
      <c r="E416" s="117"/>
      <c r="F416" s="164" t="s">
        <v>1133</v>
      </c>
      <c r="G416" s="119">
        <v>150000</v>
      </c>
      <c r="H416" s="77"/>
      <c r="I416" s="225" t="s">
        <v>1130</v>
      </c>
      <c r="J416" s="237">
        <v>0</v>
      </c>
      <c r="K416" s="233">
        <f t="shared" si="5"/>
        <v>150000</v>
      </c>
      <c r="L416" s="77"/>
    </row>
    <row r="417" spans="2:12" ht="18.600000000000001" customHeight="1" x14ac:dyDescent="0.3">
      <c r="B417" s="112"/>
      <c r="C417" s="117"/>
      <c r="D417" s="117"/>
      <c r="E417" s="117"/>
      <c r="F417" s="164" t="s">
        <v>1133</v>
      </c>
      <c r="G417" s="119">
        <v>230000</v>
      </c>
      <c r="H417" s="77"/>
      <c r="I417" s="225" t="s">
        <v>158</v>
      </c>
      <c r="J417" s="237">
        <v>0</v>
      </c>
      <c r="K417" s="233">
        <f t="shared" si="5"/>
        <v>230000</v>
      </c>
      <c r="L417" s="77"/>
    </row>
    <row r="418" spans="2:12" ht="18.600000000000001" customHeight="1" x14ac:dyDescent="0.3">
      <c r="B418" s="112"/>
      <c r="C418" s="117"/>
      <c r="D418" s="117"/>
      <c r="E418" s="117"/>
      <c r="F418" s="164" t="s">
        <v>1133</v>
      </c>
      <c r="G418" s="119">
        <v>210000</v>
      </c>
      <c r="H418" s="77"/>
      <c r="I418" s="225" t="s">
        <v>159</v>
      </c>
      <c r="J418" s="237">
        <v>0</v>
      </c>
      <c r="K418" s="233">
        <f t="shared" si="5"/>
        <v>210000</v>
      </c>
      <c r="L418" s="77"/>
    </row>
    <row r="419" spans="2:12" ht="18.600000000000001" customHeight="1" x14ac:dyDescent="0.3">
      <c r="B419" s="112"/>
      <c r="C419" s="117"/>
      <c r="D419" s="117"/>
      <c r="E419" s="117"/>
      <c r="F419" s="164" t="s">
        <v>1133</v>
      </c>
      <c r="G419" s="119">
        <v>250000</v>
      </c>
      <c r="H419" s="77"/>
      <c r="I419" s="225" t="s">
        <v>1136</v>
      </c>
      <c r="J419" s="237">
        <v>0</v>
      </c>
      <c r="K419" s="233">
        <f t="shared" si="5"/>
        <v>250000</v>
      </c>
      <c r="L419" s="77"/>
    </row>
    <row r="420" spans="2:12" ht="18.600000000000001" customHeight="1" x14ac:dyDescent="0.3">
      <c r="B420" s="112"/>
      <c r="C420" s="117"/>
      <c r="D420" s="117"/>
      <c r="E420" s="117"/>
      <c r="F420" s="164" t="s">
        <v>1086</v>
      </c>
      <c r="G420" s="119">
        <v>130000</v>
      </c>
      <c r="H420" s="77"/>
      <c r="I420" s="225" t="s">
        <v>143</v>
      </c>
      <c r="J420" s="237">
        <v>0</v>
      </c>
      <c r="K420" s="233">
        <f t="shared" si="5"/>
        <v>130000</v>
      </c>
      <c r="L420" s="77"/>
    </row>
    <row r="421" spans="2:12" ht="18.600000000000001" customHeight="1" x14ac:dyDescent="0.3">
      <c r="B421" s="112"/>
      <c r="C421" s="117"/>
      <c r="D421" s="117"/>
      <c r="E421" s="117"/>
      <c r="F421" s="164" t="s">
        <v>1086</v>
      </c>
      <c r="G421" s="119">
        <v>110000</v>
      </c>
      <c r="H421" s="77"/>
      <c r="I421" s="225" t="s">
        <v>102</v>
      </c>
      <c r="J421" s="237">
        <v>0</v>
      </c>
      <c r="K421" s="233">
        <f t="shared" si="5"/>
        <v>110000</v>
      </c>
      <c r="L421" s="77"/>
    </row>
    <row r="422" spans="2:12" ht="18.600000000000001" customHeight="1" x14ac:dyDescent="0.3">
      <c r="B422" s="112"/>
      <c r="C422" s="117"/>
      <c r="D422" s="117"/>
      <c r="E422" s="117"/>
      <c r="F422" s="164" t="s">
        <v>1086</v>
      </c>
      <c r="G422" s="119">
        <v>150000</v>
      </c>
      <c r="H422" s="77"/>
      <c r="I422" s="225" t="s">
        <v>1130</v>
      </c>
      <c r="J422" s="237">
        <v>0</v>
      </c>
      <c r="K422" s="233">
        <f t="shared" si="5"/>
        <v>150000</v>
      </c>
      <c r="L422" s="77"/>
    </row>
    <row r="423" spans="2:12" ht="18.600000000000001" customHeight="1" x14ac:dyDescent="0.3">
      <c r="B423" s="112"/>
      <c r="C423" s="117"/>
      <c r="D423" s="117"/>
      <c r="E423" s="117"/>
      <c r="F423" s="164" t="s">
        <v>1086</v>
      </c>
      <c r="G423" s="119">
        <v>230000</v>
      </c>
      <c r="H423" s="77"/>
      <c r="I423" s="225" t="s">
        <v>158</v>
      </c>
      <c r="J423" s="237">
        <v>0</v>
      </c>
      <c r="K423" s="233">
        <f t="shared" si="5"/>
        <v>230000</v>
      </c>
      <c r="L423" s="77"/>
    </row>
    <row r="424" spans="2:12" ht="18.600000000000001" customHeight="1" x14ac:dyDescent="0.3">
      <c r="B424" s="112"/>
      <c r="C424" s="117"/>
      <c r="D424" s="117"/>
      <c r="E424" s="117"/>
      <c r="F424" s="164" t="s">
        <v>1086</v>
      </c>
      <c r="G424" s="119">
        <v>210000</v>
      </c>
      <c r="H424" s="77"/>
      <c r="I424" s="225" t="s">
        <v>159</v>
      </c>
      <c r="J424" s="237">
        <v>0</v>
      </c>
      <c r="K424" s="233">
        <f t="shared" si="5"/>
        <v>210000</v>
      </c>
      <c r="L424" s="77"/>
    </row>
    <row r="425" spans="2:12" ht="18.600000000000001" customHeight="1" x14ac:dyDescent="0.3">
      <c r="B425" s="112"/>
      <c r="C425" s="117"/>
      <c r="D425" s="117"/>
      <c r="E425" s="117"/>
      <c r="F425" s="164" t="s">
        <v>1086</v>
      </c>
      <c r="G425" s="119">
        <v>250000</v>
      </c>
      <c r="H425" s="77"/>
      <c r="I425" s="225" t="s">
        <v>1136</v>
      </c>
      <c r="J425" s="237">
        <v>0</v>
      </c>
      <c r="K425" s="233">
        <f t="shared" si="5"/>
        <v>250000</v>
      </c>
      <c r="L425" s="77"/>
    </row>
    <row r="426" spans="2:12" ht="18.600000000000001" customHeight="1" x14ac:dyDescent="0.3">
      <c r="B426" s="112"/>
      <c r="C426" s="117"/>
      <c r="D426" s="117"/>
      <c r="E426" s="117"/>
      <c r="F426" s="164" t="s">
        <v>1086</v>
      </c>
      <c r="G426" s="119">
        <v>150000</v>
      </c>
      <c r="H426" s="77"/>
      <c r="I426" s="225" t="s">
        <v>1313</v>
      </c>
      <c r="J426" s="237">
        <v>0</v>
      </c>
      <c r="K426" s="233">
        <f t="shared" si="5"/>
        <v>150000</v>
      </c>
      <c r="L426" s="77"/>
    </row>
    <row r="427" spans="2:12" ht="18.600000000000001" customHeight="1" x14ac:dyDescent="0.3">
      <c r="B427" s="112"/>
      <c r="C427" s="117"/>
      <c r="D427" s="117"/>
      <c r="E427" s="117"/>
      <c r="F427" s="164" t="s">
        <v>1086</v>
      </c>
      <c r="G427" s="119">
        <v>310000</v>
      </c>
      <c r="H427" s="77"/>
      <c r="I427" s="225" t="s">
        <v>1311</v>
      </c>
      <c r="J427" s="237">
        <v>0</v>
      </c>
      <c r="K427" s="233">
        <f t="shared" si="5"/>
        <v>310000</v>
      </c>
      <c r="L427" s="77"/>
    </row>
    <row r="428" spans="2:12" ht="18.600000000000001" customHeight="1" x14ac:dyDescent="0.3">
      <c r="B428" s="112"/>
      <c r="C428" s="117"/>
      <c r="D428" s="117"/>
      <c r="E428" s="117"/>
      <c r="F428" s="164" t="s">
        <v>1086</v>
      </c>
      <c r="G428" s="119">
        <v>420000</v>
      </c>
      <c r="H428" s="77"/>
      <c r="I428" s="225" t="s">
        <v>1364</v>
      </c>
      <c r="J428" s="237">
        <v>0</v>
      </c>
      <c r="K428" s="233">
        <f t="shared" si="5"/>
        <v>420000</v>
      </c>
      <c r="L428" s="77"/>
    </row>
    <row r="429" spans="2:12" ht="18.600000000000001" customHeight="1" x14ac:dyDescent="0.3">
      <c r="B429" s="112"/>
      <c r="C429" s="117"/>
      <c r="D429" s="117"/>
      <c r="E429" s="117"/>
      <c r="F429" s="164" t="s">
        <v>1365</v>
      </c>
      <c r="G429" s="119">
        <v>150000</v>
      </c>
      <c r="H429" s="77"/>
      <c r="I429" s="225" t="s">
        <v>1313</v>
      </c>
      <c r="J429" s="237">
        <v>0</v>
      </c>
      <c r="K429" s="233">
        <f t="shared" si="5"/>
        <v>150000</v>
      </c>
      <c r="L429" s="77"/>
    </row>
    <row r="430" spans="2:12" ht="18.600000000000001" customHeight="1" x14ac:dyDescent="0.3">
      <c r="B430" s="112"/>
      <c r="C430" s="117"/>
      <c r="D430" s="117"/>
      <c r="E430" s="117"/>
      <c r="F430" s="164" t="s">
        <v>1365</v>
      </c>
      <c r="G430" s="119">
        <v>310000</v>
      </c>
      <c r="H430" s="77"/>
      <c r="I430" s="225" t="s">
        <v>1311</v>
      </c>
      <c r="J430" s="237">
        <v>0</v>
      </c>
      <c r="K430" s="233">
        <f t="shared" si="5"/>
        <v>310000</v>
      </c>
      <c r="L430" s="77"/>
    </row>
    <row r="431" spans="2:12" ht="18.600000000000001" customHeight="1" x14ac:dyDescent="0.3">
      <c r="B431" s="112"/>
      <c r="C431" s="117"/>
      <c r="D431" s="117"/>
      <c r="E431" s="117"/>
      <c r="F431" s="164" t="s">
        <v>1365</v>
      </c>
      <c r="G431" s="119">
        <v>420000</v>
      </c>
      <c r="H431" s="77"/>
      <c r="I431" s="225" t="s">
        <v>1364</v>
      </c>
      <c r="J431" s="237">
        <v>0</v>
      </c>
      <c r="K431" s="233">
        <f t="shared" si="5"/>
        <v>420000</v>
      </c>
      <c r="L431" s="77"/>
    </row>
    <row r="432" spans="2:12" ht="18.600000000000001" customHeight="1" x14ac:dyDescent="0.3">
      <c r="B432" s="112"/>
      <c r="C432" s="117"/>
      <c r="D432" s="117"/>
      <c r="E432" s="117"/>
      <c r="F432" s="164" t="s">
        <v>142</v>
      </c>
      <c r="G432" s="119">
        <v>310000</v>
      </c>
      <c r="H432" s="77"/>
      <c r="I432" s="225" t="s">
        <v>102</v>
      </c>
      <c r="J432" s="237">
        <v>0</v>
      </c>
      <c r="K432" s="233">
        <f t="shared" si="5"/>
        <v>310000</v>
      </c>
      <c r="L432" s="77"/>
    </row>
    <row r="433" spans="2:12" ht="18.600000000000001" customHeight="1" x14ac:dyDescent="0.3">
      <c r="B433" s="112"/>
      <c r="C433" s="117"/>
      <c r="D433" s="117"/>
      <c r="E433" s="117"/>
      <c r="F433" s="164" t="s">
        <v>142</v>
      </c>
      <c r="G433" s="119">
        <v>320000</v>
      </c>
      <c r="H433" s="77"/>
      <c r="I433" s="225" t="s">
        <v>1130</v>
      </c>
      <c r="J433" s="237">
        <v>0</v>
      </c>
      <c r="K433" s="233">
        <f t="shared" si="5"/>
        <v>320000</v>
      </c>
      <c r="L433" s="77"/>
    </row>
    <row r="434" spans="2:12" ht="18.600000000000001" customHeight="1" x14ac:dyDescent="0.3">
      <c r="B434" s="112"/>
      <c r="C434" s="117"/>
      <c r="D434" s="117"/>
      <c r="E434" s="117"/>
      <c r="F434" s="164" t="s">
        <v>142</v>
      </c>
      <c r="G434" s="119">
        <v>410000</v>
      </c>
      <c r="H434" s="77"/>
      <c r="I434" s="225" t="s">
        <v>159</v>
      </c>
      <c r="J434" s="237">
        <v>0</v>
      </c>
      <c r="K434" s="233">
        <f t="shared" si="5"/>
        <v>410000</v>
      </c>
      <c r="L434" s="77"/>
    </row>
    <row r="435" spans="2:12" ht="18.600000000000001" customHeight="1" x14ac:dyDescent="0.3">
      <c r="B435" s="112"/>
      <c r="C435" s="117"/>
      <c r="D435" s="117"/>
      <c r="E435" s="117"/>
      <c r="F435" s="164" t="s">
        <v>142</v>
      </c>
      <c r="G435" s="119">
        <v>420000</v>
      </c>
      <c r="H435" s="77"/>
      <c r="I435" s="225" t="s">
        <v>1136</v>
      </c>
      <c r="J435" s="237">
        <v>0</v>
      </c>
      <c r="K435" s="233">
        <f t="shared" si="5"/>
        <v>420000</v>
      </c>
      <c r="L435" s="77"/>
    </row>
    <row r="436" spans="2:12" ht="18.600000000000001" customHeight="1" x14ac:dyDescent="0.3">
      <c r="B436" s="112"/>
      <c r="C436" s="117"/>
      <c r="D436" s="117"/>
      <c r="E436" s="117"/>
      <c r="F436" s="164" t="s">
        <v>149</v>
      </c>
      <c r="G436" s="119">
        <v>310000</v>
      </c>
      <c r="H436" s="77"/>
      <c r="I436" s="225" t="s">
        <v>102</v>
      </c>
      <c r="J436" s="237">
        <v>0</v>
      </c>
      <c r="K436" s="233">
        <f t="shared" si="5"/>
        <v>310000</v>
      </c>
      <c r="L436" s="77"/>
    </row>
    <row r="437" spans="2:12" ht="18.600000000000001" customHeight="1" x14ac:dyDescent="0.3">
      <c r="B437" s="112"/>
      <c r="C437" s="117"/>
      <c r="D437" s="117"/>
      <c r="E437" s="117"/>
      <c r="F437" s="164" t="s">
        <v>149</v>
      </c>
      <c r="G437" s="119">
        <v>320000</v>
      </c>
      <c r="H437" s="77"/>
      <c r="I437" s="225" t="s">
        <v>1130</v>
      </c>
      <c r="J437" s="237">
        <v>0</v>
      </c>
      <c r="K437" s="233">
        <f t="shared" si="5"/>
        <v>320000</v>
      </c>
      <c r="L437" s="77"/>
    </row>
    <row r="438" spans="2:12" ht="18.600000000000001" customHeight="1" x14ac:dyDescent="0.3">
      <c r="B438" s="112"/>
      <c r="C438" s="117"/>
      <c r="D438" s="117"/>
      <c r="E438" s="117"/>
      <c r="F438" s="164" t="s">
        <v>149</v>
      </c>
      <c r="G438" s="119">
        <v>410000</v>
      </c>
      <c r="H438" s="77"/>
      <c r="I438" s="225" t="s">
        <v>159</v>
      </c>
      <c r="J438" s="237">
        <v>0</v>
      </c>
      <c r="K438" s="233">
        <f t="shared" ref="K438:K444" si="6">G438+J438</f>
        <v>410000</v>
      </c>
      <c r="L438" s="77"/>
    </row>
    <row r="439" spans="2:12" ht="18.600000000000001" customHeight="1" x14ac:dyDescent="0.3">
      <c r="B439" s="112"/>
      <c r="C439" s="117"/>
      <c r="D439" s="117"/>
      <c r="E439" s="117"/>
      <c r="F439" s="164" t="s">
        <v>149</v>
      </c>
      <c r="G439" s="119">
        <v>420000</v>
      </c>
      <c r="H439" s="77"/>
      <c r="I439" s="225" t="s">
        <v>1136</v>
      </c>
      <c r="J439" s="237">
        <v>0</v>
      </c>
      <c r="K439" s="233">
        <f t="shared" si="6"/>
        <v>420000</v>
      </c>
      <c r="L439" s="77"/>
    </row>
    <row r="440" spans="2:12" ht="18.600000000000001" customHeight="1" x14ac:dyDescent="0.3">
      <c r="B440" s="112"/>
      <c r="C440" s="117"/>
      <c r="D440" s="117"/>
      <c r="E440" s="117"/>
      <c r="F440" s="164" t="s">
        <v>1135</v>
      </c>
      <c r="G440" s="119">
        <v>320000</v>
      </c>
      <c r="H440" s="77"/>
      <c r="I440" s="225" t="s">
        <v>1130</v>
      </c>
      <c r="J440" s="237">
        <v>0</v>
      </c>
      <c r="K440" s="233">
        <f t="shared" si="6"/>
        <v>320000</v>
      </c>
      <c r="L440" s="77"/>
    </row>
    <row r="441" spans="2:12" ht="18.600000000000001" customHeight="1" x14ac:dyDescent="0.3">
      <c r="B441" s="112"/>
      <c r="C441" s="117"/>
      <c r="D441" s="117"/>
      <c r="E441" s="117"/>
      <c r="F441" s="164" t="s">
        <v>1135</v>
      </c>
      <c r="G441" s="119">
        <v>420000</v>
      </c>
      <c r="H441" s="77"/>
      <c r="I441" s="225" t="s">
        <v>1136</v>
      </c>
      <c r="J441" s="237">
        <v>0</v>
      </c>
      <c r="K441" s="233">
        <f t="shared" si="6"/>
        <v>420000</v>
      </c>
      <c r="L441" s="77"/>
    </row>
    <row r="442" spans="2:12" ht="18.600000000000001" customHeight="1" x14ac:dyDescent="0.3">
      <c r="B442" s="112"/>
      <c r="C442" s="117"/>
      <c r="D442" s="117"/>
      <c r="E442" s="117"/>
      <c r="F442" s="164" t="s">
        <v>1134</v>
      </c>
      <c r="G442" s="119">
        <v>320000</v>
      </c>
      <c r="H442" s="77"/>
      <c r="I442" s="225" t="s">
        <v>1130</v>
      </c>
      <c r="J442" s="237">
        <v>0</v>
      </c>
      <c r="K442" s="233">
        <f t="shared" si="6"/>
        <v>320000</v>
      </c>
      <c r="L442" s="77"/>
    </row>
    <row r="443" spans="2:12" ht="18.600000000000001" customHeight="1" x14ac:dyDescent="0.3">
      <c r="B443" s="112"/>
      <c r="C443" s="117"/>
      <c r="D443" s="117"/>
      <c r="E443" s="117"/>
      <c r="F443" s="164" t="s">
        <v>1134</v>
      </c>
      <c r="G443" s="119">
        <v>420000</v>
      </c>
      <c r="H443" s="77"/>
      <c r="I443" s="225" t="s">
        <v>1136</v>
      </c>
      <c r="J443" s="237">
        <v>0</v>
      </c>
      <c r="K443" s="233">
        <f t="shared" si="6"/>
        <v>420000</v>
      </c>
      <c r="L443" s="77"/>
    </row>
    <row r="444" spans="2:12" ht="18.600000000000001" customHeight="1" x14ac:dyDescent="0.3">
      <c r="B444" s="113"/>
      <c r="C444" s="118"/>
      <c r="D444" s="118"/>
      <c r="E444" s="374"/>
      <c r="F444" s="25" t="s">
        <v>1365</v>
      </c>
      <c r="G444" s="224">
        <v>289000</v>
      </c>
      <c r="H444" s="375"/>
      <c r="I444" s="231" t="s">
        <v>1131</v>
      </c>
      <c r="J444" s="238">
        <v>0</v>
      </c>
      <c r="K444" s="232">
        <f t="shared" si="6"/>
        <v>289000</v>
      </c>
      <c r="L444" s="375"/>
    </row>
    <row r="446" spans="2:12" s="1" customFormat="1" ht="18.600000000000001" customHeight="1" x14ac:dyDescent="0.3">
      <c r="B446" s="304" t="s">
        <v>1403</v>
      </c>
      <c r="C446" s="305"/>
      <c r="D446" s="305"/>
      <c r="E446" s="305"/>
      <c r="F446" s="305"/>
      <c r="G446" s="305"/>
      <c r="H446" s="305"/>
      <c r="I446" s="305"/>
      <c r="J446" s="305"/>
      <c r="K446" s="305"/>
      <c r="L446" s="305"/>
    </row>
    <row r="447" spans="2:12" s="1" customFormat="1" ht="18.600000000000001" customHeight="1" x14ac:dyDescent="0.3">
      <c r="B447" s="405" t="s">
        <v>70</v>
      </c>
      <c r="C447" s="405" t="s">
        <v>71</v>
      </c>
      <c r="D447" s="405" t="s">
        <v>72</v>
      </c>
      <c r="E447" s="420" t="s">
        <v>25</v>
      </c>
      <c r="F447" s="421"/>
      <c r="G447" s="422"/>
      <c r="H447" s="420" t="s">
        <v>26</v>
      </c>
      <c r="I447" s="421"/>
      <c r="J447" s="422"/>
      <c r="K447" s="410" t="s">
        <v>77</v>
      </c>
      <c r="L447" s="418" t="s">
        <v>75</v>
      </c>
    </row>
    <row r="448" spans="2:12" s="1" customFormat="1" ht="18.600000000000001" customHeight="1" x14ac:dyDescent="0.3">
      <c r="B448" s="406"/>
      <c r="C448" s="406"/>
      <c r="D448" s="406"/>
      <c r="E448" s="43" t="s">
        <v>23</v>
      </c>
      <c r="F448" s="43" t="s">
        <v>20</v>
      </c>
      <c r="G448" s="43" t="s">
        <v>19</v>
      </c>
      <c r="H448" s="43" t="s">
        <v>23</v>
      </c>
      <c r="I448" s="43" t="s">
        <v>20</v>
      </c>
      <c r="J448" s="351" t="s">
        <v>19</v>
      </c>
      <c r="K448" s="417"/>
      <c r="L448" s="419"/>
    </row>
    <row r="449" spans="2:15" s="1" customFormat="1" ht="18.600000000000001" customHeight="1" x14ac:dyDescent="0.3">
      <c r="B449" s="151" t="s">
        <v>366</v>
      </c>
      <c r="C449" s="306" t="s">
        <v>1415</v>
      </c>
      <c r="D449" s="151" t="s">
        <v>1393</v>
      </c>
      <c r="E449" s="25" t="s">
        <v>47</v>
      </c>
      <c r="F449" s="25" t="s">
        <v>1327</v>
      </c>
      <c r="G449" s="179">
        <v>0</v>
      </c>
      <c r="H449" s="25" t="s">
        <v>1394</v>
      </c>
      <c r="I449" s="25" t="s">
        <v>1203</v>
      </c>
      <c r="J449" s="179">
        <v>50000</v>
      </c>
      <c r="K449" s="180">
        <f t="shared" ref="K449:K456" si="7">+J449+G449</f>
        <v>50000</v>
      </c>
      <c r="L449" s="292"/>
    </row>
    <row r="450" spans="2:15" s="1" customFormat="1" ht="18.600000000000001" customHeight="1" x14ac:dyDescent="0.3">
      <c r="B450" s="151" t="s">
        <v>366</v>
      </c>
      <c r="C450" s="306" t="s">
        <v>1415</v>
      </c>
      <c r="D450" s="151" t="s">
        <v>1393</v>
      </c>
      <c r="E450" s="25" t="s">
        <v>47</v>
      </c>
      <c r="F450" s="25" t="s">
        <v>1327</v>
      </c>
      <c r="G450" s="179">
        <v>0</v>
      </c>
      <c r="H450" s="25" t="s">
        <v>1394</v>
      </c>
      <c r="I450" s="25" t="s">
        <v>1207</v>
      </c>
      <c r="J450" s="179">
        <v>50000</v>
      </c>
      <c r="K450" s="180">
        <f t="shared" si="7"/>
        <v>50000</v>
      </c>
      <c r="L450" s="292"/>
    </row>
    <row r="451" spans="2:15" s="1" customFormat="1" ht="18.600000000000001" customHeight="1" x14ac:dyDescent="0.3">
      <c r="B451" s="151" t="s">
        <v>366</v>
      </c>
      <c r="C451" s="306" t="s">
        <v>1415</v>
      </c>
      <c r="D451" s="151" t="s">
        <v>1393</v>
      </c>
      <c r="E451" s="25" t="s">
        <v>47</v>
      </c>
      <c r="F451" s="25" t="s">
        <v>1327</v>
      </c>
      <c r="G451" s="179">
        <v>0</v>
      </c>
      <c r="H451" s="25" t="s">
        <v>1394</v>
      </c>
      <c r="I451" s="25" t="s">
        <v>1240</v>
      </c>
      <c r="J451" s="179">
        <v>50000</v>
      </c>
      <c r="K451" s="180">
        <f t="shared" si="7"/>
        <v>50000</v>
      </c>
      <c r="L451" s="152"/>
    </row>
    <row r="452" spans="2:15" s="1" customFormat="1" ht="18.600000000000001" customHeight="1" x14ac:dyDescent="0.3">
      <c r="B452" s="151" t="s">
        <v>366</v>
      </c>
      <c r="C452" s="306" t="s">
        <v>1415</v>
      </c>
      <c r="D452" s="151" t="s">
        <v>1393</v>
      </c>
      <c r="E452" s="25" t="s">
        <v>47</v>
      </c>
      <c r="F452" s="25" t="s">
        <v>1327</v>
      </c>
      <c r="G452" s="179">
        <v>0</v>
      </c>
      <c r="H452" s="25" t="s">
        <v>1394</v>
      </c>
      <c r="I452" s="25" t="s">
        <v>1395</v>
      </c>
      <c r="J452" s="179">
        <v>50000</v>
      </c>
      <c r="K452" s="180">
        <f t="shared" si="7"/>
        <v>50000</v>
      </c>
      <c r="L452" s="152"/>
    </row>
    <row r="453" spans="2:15" s="1" customFormat="1" ht="18.600000000000001" customHeight="1" x14ac:dyDescent="0.3">
      <c r="B453" s="151" t="s">
        <v>366</v>
      </c>
      <c r="C453" s="306" t="s">
        <v>1415</v>
      </c>
      <c r="D453" s="151" t="s">
        <v>1393</v>
      </c>
      <c r="E453" s="25" t="s">
        <v>47</v>
      </c>
      <c r="F453" s="181" t="s">
        <v>1331</v>
      </c>
      <c r="G453" s="179">
        <v>0</v>
      </c>
      <c r="H453" s="25" t="s">
        <v>1394</v>
      </c>
      <c r="I453" s="25" t="s">
        <v>1203</v>
      </c>
      <c r="J453" s="179">
        <v>50000</v>
      </c>
      <c r="K453" s="180">
        <f t="shared" si="7"/>
        <v>50000</v>
      </c>
      <c r="L453" s="152"/>
    </row>
    <row r="454" spans="2:15" s="1" customFormat="1" ht="18.600000000000001" customHeight="1" x14ac:dyDescent="0.3">
      <c r="B454" s="151" t="s">
        <v>366</v>
      </c>
      <c r="C454" s="306" t="s">
        <v>1415</v>
      </c>
      <c r="D454" s="151" t="s">
        <v>1393</v>
      </c>
      <c r="E454" s="25" t="s">
        <v>47</v>
      </c>
      <c r="F454" s="181" t="s">
        <v>1331</v>
      </c>
      <c r="G454" s="179">
        <v>0</v>
      </c>
      <c r="H454" s="25" t="s">
        <v>1394</v>
      </c>
      <c r="I454" s="25" t="s">
        <v>1207</v>
      </c>
      <c r="J454" s="179">
        <v>50000</v>
      </c>
      <c r="K454" s="180">
        <f t="shared" si="7"/>
        <v>50000</v>
      </c>
      <c r="L454" s="152"/>
    </row>
    <row r="455" spans="2:15" s="1" customFormat="1" ht="18.600000000000001" customHeight="1" x14ac:dyDescent="0.3">
      <c r="B455" s="151" t="s">
        <v>366</v>
      </c>
      <c r="C455" s="306" t="s">
        <v>1415</v>
      </c>
      <c r="D455" s="151" t="s">
        <v>1393</v>
      </c>
      <c r="E455" s="25" t="s">
        <v>47</v>
      </c>
      <c r="F455" s="181" t="s">
        <v>1331</v>
      </c>
      <c r="G455" s="179">
        <v>0</v>
      </c>
      <c r="H455" s="25" t="s">
        <v>1394</v>
      </c>
      <c r="I455" s="25" t="s">
        <v>1240</v>
      </c>
      <c r="J455" s="179">
        <v>50000</v>
      </c>
      <c r="K455" s="180">
        <f t="shared" si="7"/>
        <v>50000</v>
      </c>
      <c r="L455" s="152"/>
    </row>
    <row r="456" spans="2:15" s="1" customFormat="1" ht="18.600000000000001" customHeight="1" x14ac:dyDescent="0.3">
      <c r="B456" s="151" t="s">
        <v>366</v>
      </c>
      <c r="C456" s="25" t="s">
        <v>1415</v>
      </c>
      <c r="D456" s="151" t="s">
        <v>1393</v>
      </c>
      <c r="E456" s="25" t="s">
        <v>47</v>
      </c>
      <c r="F456" s="181" t="s">
        <v>1331</v>
      </c>
      <c r="G456" s="179">
        <v>0</v>
      </c>
      <c r="H456" s="25" t="s">
        <v>1394</v>
      </c>
      <c r="I456" s="25" t="s">
        <v>1395</v>
      </c>
      <c r="J456" s="179">
        <v>50000</v>
      </c>
      <c r="K456" s="180">
        <f t="shared" si="7"/>
        <v>50000</v>
      </c>
      <c r="L456" s="152"/>
    </row>
    <row r="458" spans="2:15" s="1" customFormat="1" ht="18.600000000000001" customHeight="1" x14ac:dyDescent="0.3">
      <c r="B458" s="304" t="s">
        <v>1419</v>
      </c>
      <c r="C458" s="305"/>
      <c r="D458" s="305"/>
      <c r="E458" s="305"/>
      <c r="F458" s="305"/>
      <c r="G458" s="305"/>
      <c r="H458" s="305"/>
      <c r="I458" s="305"/>
      <c r="J458" s="305"/>
      <c r="K458" s="305"/>
      <c r="L458" s="305"/>
    </row>
    <row r="459" spans="2:15" s="1" customFormat="1" ht="18.600000000000001" customHeight="1" x14ac:dyDescent="0.3">
      <c r="B459" s="405" t="s">
        <v>70</v>
      </c>
      <c r="C459" s="405" t="s">
        <v>71</v>
      </c>
      <c r="D459" s="405" t="s">
        <v>72</v>
      </c>
      <c r="E459" s="420" t="s">
        <v>25</v>
      </c>
      <c r="F459" s="421"/>
      <c r="G459" s="422"/>
      <c r="H459" s="420" t="s">
        <v>26</v>
      </c>
      <c r="I459" s="421"/>
      <c r="J459" s="422"/>
      <c r="K459" s="420" t="s">
        <v>1426</v>
      </c>
      <c r="L459" s="421"/>
      <c r="M459" s="422"/>
      <c r="N459" s="410" t="s">
        <v>1427</v>
      </c>
      <c r="O459" s="418" t="s">
        <v>75</v>
      </c>
    </row>
    <row r="460" spans="2:15" s="1" customFormat="1" ht="18.600000000000001" customHeight="1" x14ac:dyDescent="0.3">
      <c r="B460" s="406"/>
      <c r="C460" s="406"/>
      <c r="D460" s="406"/>
      <c r="E460" s="43" t="s">
        <v>23</v>
      </c>
      <c r="F460" s="43" t="s">
        <v>20</v>
      </c>
      <c r="G460" s="43" t="s">
        <v>19</v>
      </c>
      <c r="H460" s="43" t="s">
        <v>23</v>
      </c>
      <c r="I460" s="43" t="s">
        <v>20</v>
      </c>
      <c r="J460" s="349" t="s">
        <v>19</v>
      </c>
      <c r="K460" s="43" t="s">
        <v>23</v>
      </c>
      <c r="L460" s="43" t="s">
        <v>20</v>
      </c>
      <c r="M460" s="349" t="s">
        <v>19</v>
      </c>
      <c r="N460" s="417"/>
      <c r="O460" s="419"/>
    </row>
    <row r="461" spans="2:15" s="1" customFormat="1" ht="18.600000000000001" customHeight="1" x14ac:dyDescent="0.3">
      <c r="B461" s="151" t="s">
        <v>366</v>
      </c>
      <c r="C461" s="306" t="s">
        <v>1415</v>
      </c>
      <c r="D461" s="151" t="s">
        <v>1422</v>
      </c>
      <c r="E461" s="164" t="s">
        <v>1423</v>
      </c>
      <c r="F461" s="164" t="s">
        <v>1212</v>
      </c>
      <c r="G461" s="24">
        <v>0</v>
      </c>
      <c r="H461" s="164" t="s">
        <v>1425</v>
      </c>
      <c r="I461" s="164" t="s">
        <v>1424</v>
      </c>
      <c r="J461" s="356">
        <v>99000</v>
      </c>
      <c r="K461" s="164" t="s">
        <v>1425</v>
      </c>
      <c r="L461" s="164" t="s">
        <v>1424</v>
      </c>
      <c r="M461" s="356">
        <v>99000</v>
      </c>
      <c r="N461" s="357">
        <f>G461+J461+M461</f>
        <v>198000</v>
      </c>
      <c r="O461" s="292"/>
    </row>
    <row r="462" spans="2:15" s="1" customFormat="1" ht="18.600000000000001" customHeight="1" x14ac:dyDescent="0.3">
      <c r="B462" s="151" t="s">
        <v>366</v>
      </c>
      <c r="C462" s="306" t="s">
        <v>1420</v>
      </c>
      <c r="D462" s="151" t="s">
        <v>1421</v>
      </c>
      <c r="E462" s="164" t="s">
        <v>1423</v>
      </c>
      <c r="F462" s="164" t="s">
        <v>1211</v>
      </c>
      <c r="G462" s="24">
        <v>0</v>
      </c>
      <c r="H462" s="164" t="s">
        <v>1425</v>
      </c>
      <c r="I462" s="164" t="s">
        <v>1424</v>
      </c>
      <c r="J462" s="356">
        <v>99000</v>
      </c>
      <c r="K462" s="164" t="s">
        <v>1425</v>
      </c>
      <c r="L462" s="164" t="s">
        <v>1424</v>
      </c>
      <c r="M462" s="356">
        <v>99000</v>
      </c>
      <c r="N462" s="357">
        <f t="shared" ref="N462:N466" si="8">G462+J462+M462</f>
        <v>198000</v>
      </c>
      <c r="O462" s="292"/>
    </row>
    <row r="463" spans="2:15" s="1" customFormat="1" ht="18.600000000000001" customHeight="1" x14ac:dyDescent="0.3">
      <c r="B463" s="151" t="s">
        <v>366</v>
      </c>
      <c r="C463" s="306" t="s">
        <v>1420</v>
      </c>
      <c r="D463" s="151" t="s">
        <v>1421</v>
      </c>
      <c r="E463" s="164" t="s">
        <v>1423</v>
      </c>
      <c r="F463" s="164" t="s">
        <v>1210</v>
      </c>
      <c r="G463" s="24">
        <v>0</v>
      </c>
      <c r="H463" s="164" t="s">
        <v>1425</v>
      </c>
      <c r="I463" s="164" t="s">
        <v>1424</v>
      </c>
      <c r="J463" s="356">
        <v>99000</v>
      </c>
      <c r="K463" s="164" t="s">
        <v>1425</v>
      </c>
      <c r="L463" s="164" t="s">
        <v>1424</v>
      </c>
      <c r="M463" s="356">
        <v>99000</v>
      </c>
      <c r="N463" s="357">
        <f t="shared" si="8"/>
        <v>198000</v>
      </c>
      <c r="O463" s="152"/>
    </row>
    <row r="464" spans="2:15" s="1" customFormat="1" ht="18.600000000000001" customHeight="1" x14ac:dyDescent="0.3">
      <c r="B464" s="151" t="s">
        <v>366</v>
      </c>
      <c r="C464" s="306" t="s">
        <v>1420</v>
      </c>
      <c r="D464" s="151" t="s">
        <v>1421</v>
      </c>
      <c r="E464" s="164" t="s">
        <v>1423</v>
      </c>
      <c r="F464" s="164" t="s">
        <v>1216</v>
      </c>
      <c r="G464" s="24">
        <v>0</v>
      </c>
      <c r="H464" s="164" t="s">
        <v>1425</v>
      </c>
      <c r="I464" s="164" t="s">
        <v>1424</v>
      </c>
      <c r="J464" s="356">
        <v>99000</v>
      </c>
      <c r="K464" s="164"/>
      <c r="L464" s="164"/>
      <c r="M464" s="356"/>
      <c r="N464" s="357">
        <f t="shared" si="8"/>
        <v>99000</v>
      </c>
      <c r="O464" s="152"/>
    </row>
    <row r="465" spans="2:15" s="1" customFormat="1" ht="18.600000000000001" customHeight="1" x14ac:dyDescent="0.3">
      <c r="B465" s="151" t="s">
        <v>366</v>
      </c>
      <c r="C465" s="306" t="s">
        <v>1420</v>
      </c>
      <c r="D465" s="151" t="s">
        <v>1421</v>
      </c>
      <c r="E465" s="164" t="s">
        <v>1423</v>
      </c>
      <c r="F465" s="358" t="s">
        <v>1215</v>
      </c>
      <c r="G465" s="24">
        <v>0</v>
      </c>
      <c r="H465" s="164" t="s">
        <v>1425</v>
      </c>
      <c r="I465" s="164" t="s">
        <v>1424</v>
      </c>
      <c r="J465" s="356">
        <v>99000</v>
      </c>
      <c r="K465" s="164"/>
      <c r="L465" s="164"/>
      <c r="M465" s="356"/>
      <c r="N465" s="357">
        <f t="shared" si="8"/>
        <v>99000</v>
      </c>
      <c r="O465" s="152"/>
    </row>
    <row r="466" spans="2:15" s="1" customFormat="1" ht="18.600000000000001" customHeight="1" x14ac:dyDescent="0.3">
      <c r="B466" s="151" t="s">
        <v>366</v>
      </c>
      <c r="C466" s="307" t="s">
        <v>1420</v>
      </c>
      <c r="D466" s="151" t="s">
        <v>1421</v>
      </c>
      <c r="E466" s="164" t="s">
        <v>1423</v>
      </c>
      <c r="F466" s="358" t="s">
        <v>1214</v>
      </c>
      <c r="G466" s="24">
        <v>0</v>
      </c>
      <c r="H466" s="164" t="s">
        <v>1425</v>
      </c>
      <c r="I466" s="164" t="s">
        <v>1424</v>
      </c>
      <c r="J466" s="356">
        <v>99000</v>
      </c>
      <c r="K466" s="164"/>
      <c r="L466" s="164"/>
      <c r="M466" s="356"/>
      <c r="N466" s="357">
        <f t="shared" si="8"/>
        <v>99000</v>
      </c>
      <c r="O466" s="152"/>
    </row>
  </sheetData>
  <mergeCells count="29">
    <mergeCell ref="N459:N460"/>
    <mergeCell ref="O459:O460"/>
    <mergeCell ref="H459:J459"/>
    <mergeCell ref="B459:B460"/>
    <mergeCell ref="C459:C460"/>
    <mergeCell ref="D459:D460"/>
    <mergeCell ref="E459:G459"/>
    <mergeCell ref="K459:M459"/>
    <mergeCell ref="K447:K448"/>
    <mergeCell ref="L447:L448"/>
    <mergeCell ref="B447:B448"/>
    <mergeCell ref="C447:C448"/>
    <mergeCell ref="D447:D448"/>
    <mergeCell ref="E447:G447"/>
    <mergeCell ref="H447:J447"/>
    <mergeCell ref="L6:L7"/>
    <mergeCell ref="B74:B75"/>
    <mergeCell ref="C74:C75"/>
    <mergeCell ref="D74:D75"/>
    <mergeCell ref="E74:G74"/>
    <mergeCell ref="H74:J74"/>
    <mergeCell ref="K74:K75"/>
    <mergeCell ref="L74:L75"/>
    <mergeCell ref="B6:B7"/>
    <mergeCell ref="C6:C7"/>
    <mergeCell ref="D6:D7"/>
    <mergeCell ref="E6:G6"/>
    <mergeCell ref="H6:J6"/>
    <mergeCell ref="K6:K7"/>
  </mergeCells>
  <phoneticPr fontId="2" type="noConversion"/>
  <conditionalFormatting sqref="M71">
    <cfRule type="duplicateValues" dxfId="114" priority="45"/>
    <cfRule type="duplicateValues" dxfId="113" priority="44"/>
  </conditionalFormatting>
  <conditionalFormatting sqref="O54:O65">
    <cfRule type="duplicateValues" dxfId="112" priority="41"/>
  </conditionalFormatting>
  <conditionalFormatting sqref="O66:O68">
    <cfRule type="duplicateValues" dxfId="111" priority="42"/>
  </conditionalFormatting>
  <conditionalFormatting sqref="P71 O69:O70">
    <cfRule type="duplicateValues" dxfId="110" priority="43"/>
  </conditionalFormatting>
  <conditionalFormatting sqref="P101">
    <cfRule type="duplicateValues" dxfId="109" priority="39"/>
  </conditionalFormatting>
  <conditionalFormatting sqref="P140">
    <cfRule type="duplicateValues" dxfId="108" priority="38"/>
  </conditionalFormatting>
  <conditionalFormatting sqref="P148">
    <cfRule type="duplicateValues" dxfId="107" priority="37"/>
  </conditionalFormatting>
  <conditionalFormatting sqref="P156">
    <cfRule type="duplicateValues" dxfId="106" priority="36"/>
  </conditionalFormatting>
  <conditionalFormatting sqref="P164">
    <cfRule type="duplicateValues" dxfId="105" priority="35"/>
  </conditionalFormatting>
  <conditionalFormatting sqref="P172">
    <cfRule type="duplicateValues" dxfId="104" priority="34"/>
  </conditionalFormatting>
  <conditionalFormatting sqref="P179">
    <cfRule type="duplicateValues" dxfId="103" priority="33"/>
  </conditionalFormatting>
  <conditionalFormatting sqref="P186">
    <cfRule type="duplicateValues" dxfId="102" priority="32"/>
  </conditionalFormatting>
  <conditionalFormatting sqref="P193">
    <cfRule type="duplicateValues" dxfId="101" priority="31"/>
  </conditionalFormatting>
  <conditionalFormatting sqref="P200">
    <cfRule type="duplicateValues" dxfId="100" priority="30"/>
  </conditionalFormatting>
  <conditionalFormatting sqref="P207">
    <cfRule type="duplicateValues" dxfId="99" priority="29"/>
  </conditionalFormatting>
  <conditionalFormatting sqref="P215">
    <cfRule type="duplicateValues" dxfId="98" priority="28"/>
  </conditionalFormatting>
  <conditionalFormatting sqref="P223">
    <cfRule type="duplicateValues" dxfId="97" priority="27"/>
  </conditionalFormatting>
  <conditionalFormatting sqref="P231">
    <cfRule type="duplicateValues" dxfId="96" priority="26"/>
  </conditionalFormatting>
  <conditionalFormatting sqref="P237">
    <cfRule type="duplicateValues" dxfId="95" priority="25"/>
  </conditionalFormatting>
  <conditionalFormatting sqref="P248">
    <cfRule type="duplicateValues" dxfId="94" priority="24"/>
  </conditionalFormatting>
  <conditionalFormatting sqref="P256">
    <cfRule type="duplicateValues" dxfId="93" priority="22"/>
  </conditionalFormatting>
  <conditionalFormatting sqref="P262">
    <cfRule type="duplicateValues" dxfId="92" priority="23"/>
  </conditionalFormatting>
  <conditionalFormatting sqref="P270">
    <cfRule type="duplicateValues" dxfId="91" priority="21"/>
  </conditionalFormatting>
  <conditionalFormatting sqref="P278">
    <cfRule type="duplicateValues" dxfId="90" priority="20"/>
  </conditionalFormatting>
  <conditionalFormatting sqref="P293">
    <cfRule type="duplicateValues" dxfId="89" priority="18"/>
  </conditionalFormatting>
  <conditionalFormatting sqref="P301">
    <cfRule type="duplicateValues" dxfId="88" priority="17"/>
  </conditionalFormatting>
  <conditionalFormatting sqref="P309">
    <cfRule type="duplicateValues" dxfId="87" priority="16"/>
  </conditionalFormatting>
  <conditionalFormatting sqref="P317">
    <cfRule type="duplicateValues" dxfId="86" priority="15"/>
  </conditionalFormatting>
  <conditionalFormatting sqref="P325">
    <cfRule type="duplicateValues" dxfId="85" priority="13"/>
  </conditionalFormatting>
  <conditionalFormatting sqref="P333">
    <cfRule type="duplicateValues" dxfId="84" priority="14"/>
  </conditionalFormatting>
  <conditionalFormatting sqref="P341">
    <cfRule type="duplicateValues" dxfId="83" priority="11"/>
  </conditionalFormatting>
  <conditionalFormatting sqref="P349">
    <cfRule type="duplicateValues" dxfId="82" priority="12"/>
  </conditionalFormatting>
  <conditionalFormatting sqref="P358">
    <cfRule type="duplicateValues" dxfId="81" priority="10"/>
  </conditionalFormatting>
  <conditionalFormatting sqref="P366">
    <cfRule type="duplicateValues" dxfId="80" priority="9"/>
  </conditionalFormatting>
  <conditionalFormatting sqref="P374">
    <cfRule type="duplicateValues" dxfId="79" priority="8"/>
  </conditionalFormatting>
  <conditionalFormatting sqref="P382">
    <cfRule type="duplicateValues" dxfId="78" priority="7"/>
  </conditionalFormatting>
  <conditionalFormatting sqref="P389">
    <cfRule type="duplicateValues" dxfId="77" priority="6"/>
  </conditionalFormatting>
  <conditionalFormatting sqref="P396">
    <cfRule type="duplicateValues" dxfId="76" priority="5"/>
  </conditionalFormatting>
  <conditionalFormatting sqref="P400">
    <cfRule type="duplicateValues" dxfId="75" priority="4"/>
  </conditionalFormatting>
  <conditionalFormatting sqref="P401:P404 P76:P100 P102:P139 P141:P147 P149:P155 P157:P163 P165:P171 P173:P178 P180:P185 P187:P192 P194:P199 P201:P206 P208:P214 P216:P222 P224:P230 P232:P236 P238:P247 P249:P255 P263:P269 P257:P261 P271:P277 P279:P292 P294:P300 P302:P308 P310:P316 P318:P324 P334:P340 P326:P332 P350:P357 P342:P348 P359:P365 P367:P373 P375:P381 P383:P388 P390:P395 P397:P399 P406:P409 P411:P439">
    <cfRule type="duplicateValues" dxfId="74" priority="172"/>
  </conditionalFormatting>
  <conditionalFormatting sqref="P405">
    <cfRule type="duplicateValues" dxfId="73" priority="3"/>
  </conditionalFormatting>
  <conditionalFormatting sqref="P410">
    <cfRule type="duplicateValues" dxfId="72" priority="1"/>
  </conditionalFormatting>
  <pageMargins left="0.25" right="0.25" top="0.75" bottom="0.75" header="0.3" footer="0.3"/>
  <pageSetup paperSize="9" scale="4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B1:L25"/>
  <sheetViews>
    <sheetView showGridLines="0" zoomScale="85" zoomScaleNormal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8" sqref="F8:J19"/>
    </sheetView>
  </sheetViews>
  <sheetFormatPr defaultColWidth="9" defaultRowHeight="18.600000000000001" customHeight="1" x14ac:dyDescent="0.3"/>
  <cols>
    <col min="1" max="1" width="3.875" customWidth="1"/>
    <col min="2" max="2" width="9" customWidth="1"/>
    <col min="3" max="3" width="16.625" customWidth="1"/>
    <col min="4" max="4" width="26.25" bestFit="1" customWidth="1"/>
    <col min="5" max="5" width="18.875" customWidth="1"/>
    <col min="6" max="6" width="18.5" bestFit="1" customWidth="1"/>
    <col min="7" max="7" width="17.5" customWidth="1"/>
    <col min="8" max="8" width="21.625" customWidth="1"/>
    <col min="9" max="9" width="17.625" bestFit="1" customWidth="1"/>
    <col min="10" max="10" width="18.25" bestFit="1" customWidth="1"/>
    <col min="11" max="11" width="22.125" customWidth="1"/>
    <col min="12" max="12" width="18.5" bestFit="1" customWidth="1"/>
    <col min="13" max="13" width="21.125" customWidth="1"/>
    <col min="14" max="14" width="19.75" customWidth="1"/>
    <col min="15" max="15" width="14.75" customWidth="1"/>
    <col min="16" max="17" width="10.25" customWidth="1"/>
    <col min="19" max="19" width="10.5" bestFit="1" customWidth="1"/>
    <col min="22" max="22" width="10.5" bestFit="1" customWidth="1"/>
    <col min="23" max="23" width="15.125" bestFit="1" customWidth="1"/>
    <col min="25" max="25" width="10.5" bestFit="1" customWidth="1"/>
  </cols>
  <sheetData>
    <row r="1" spans="2:12" s="1" customFormat="1" ht="18.600000000000001" customHeight="1" x14ac:dyDescent="0.3">
      <c r="B1" s="2"/>
      <c r="C1" s="5"/>
    </row>
    <row r="2" spans="2:12" s="1" customFormat="1" ht="33" customHeight="1" x14ac:dyDescent="0.3">
      <c r="B2" s="11" t="s">
        <v>60</v>
      </c>
      <c r="C2" s="5"/>
      <c r="G2" s="7" t="s">
        <v>0</v>
      </c>
    </row>
    <row r="3" spans="2:12" s="1" customFormat="1" ht="18.600000000000001" customHeight="1" x14ac:dyDescent="0.3">
      <c r="B3" s="10"/>
      <c r="C3" s="5"/>
    </row>
    <row r="4" spans="2:12" s="1" customFormat="1" ht="18.600000000000001" customHeight="1" x14ac:dyDescent="0.3">
      <c r="B4" s="2"/>
      <c r="C4" s="5"/>
    </row>
    <row r="5" spans="2:12" s="1" customFormat="1" ht="18.600000000000001" customHeight="1" x14ac:dyDescent="0.3">
      <c r="B5" s="34" t="s">
        <v>1404</v>
      </c>
      <c r="C5" s="63"/>
      <c r="D5" s="34"/>
      <c r="E5" s="35"/>
      <c r="F5" s="35"/>
      <c r="G5" s="35"/>
      <c r="H5" s="35"/>
      <c r="I5" s="35"/>
      <c r="J5" s="35"/>
      <c r="K5" s="35"/>
      <c r="L5" s="35"/>
    </row>
    <row r="6" spans="2:12" s="1" customFormat="1" ht="18.600000000000001" customHeight="1" x14ac:dyDescent="0.3">
      <c r="B6" s="425" t="s">
        <v>70</v>
      </c>
      <c r="C6" s="429" t="s">
        <v>71</v>
      </c>
      <c r="D6" s="425" t="s">
        <v>72</v>
      </c>
      <c r="E6" s="425" t="s">
        <v>73</v>
      </c>
      <c r="F6" s="425"/>
      <c r="G6" s="425"/>
      <c r="H6" s="425" t="s">
        <v>74</v>
      </c>
      <c r="I6" s="425"/>
      <c r="J6" s="425"/>
      <c r="K6" s="423" t="s">
        <v>1159</v>
      </c>
      <c r="L6" s="425" t="s">
        <v>75</v>
      </c>
    </row>
    <row r="7" spans="2:12" s="1" customFormat="1" ht="18.600000000000001" customHeight="1" x14ac:dyDescent="0.3">
      <c r="B7" s="425"/>
      <c r="C7" s="429"/>
      <c r="D7" s="425"/>
      <c r="E7" s="277" t="s">
        <v>23</v>
      </c>
      <c r="F7" s="277" t="s">
        <v>20</v>
      </c>
      <c r="G7" s="277" t="s">
        <v>22</v>
      </c>
      <c r="H7" s="277" t="s">
        <v>23</v>
      </c>
      <c r="I7" s="277" t="s">
        <v>20</v>
      </c>
      <c r="J7" s="277" t="s">
        <v>22</v>
      </c>
      <c r="K7" s="424"/>
      <c r="L7" s="425"/>
    </row>
    <row r="8" spans="2:12" s="1" customFormat="1" ht="18.600000000000001" customHeight="1" x14ac:dyDescent="0.3">
      <c r="B8" s="278" t="s">
        <v>167</v>
      </c>
      <c r="C8" s="161" t="s">
        <v>1415</v>
      </c>
      <c r="D8" s="275" t="s">
        <v>1160</v>
      </c>
      <c r="E8" s="275" t="s">
        <v>160</v>
      </c>
      <c r="F8" s="172" t="s">
        <v>150</v>
      </c>
      <c r="G8" s="173">
        <v>100000</v>
      </c>
      <c r="H8" s="278" t="s">
        <v>162</v>
      </c>
      <c r="I8" s="172" t="s">
        <v>369</v>
      </c>
      <c r="J8" s="173">
        <v>100000</v>
      </c>
      <c r="K8" s="173">
        <f>G8+J8</f>
        <v>200000</v>
      </c>
      <c r="L8" s="426"/>
    </row>
    <row r="9" spans="2:12" s="1" customFormat="1" ht="18.600000000000001" customHeight="1" x14ac:dyDescent="0.3">
      <c r="B9" s="279"/>
      <c r="C9" s="190"/>
      <c r="D9" s="191"/>
      <c r="E9" s="191"/>
      <c r="F9" s="155" t="s">
        <v>109</v>
      </c>
      <c r="G9" s="156">
        <v>300000</v>
      </c>
      <c r="H9" s="147"/>
      <c r="I9" s="155" t="s">
        <v>369</v>
      </c>
      <c r="J9" s="156">
        <v>100000</v>
      </c>
      <c r="K9" s="156">
        <f t="shared" ref="K9:K19" si="0">G9+J9</f>
        <v>400000</v>
      </c>
      <c r="L9" s="427"/>
    </row>
    <row r="10" spans="2:12" s="1" customFormat="1" ht="18.600000000000001" customHeight="1" x14ac:dyDescent="0.3">
      <c r="B10" s="279"/>
      <c r="C10" s="190"/>
      <c r="D10" s="191"/>
      <c r="E10" s="191"/>
      <c r="F10" s="155" t="s">
        <v>1351</v>
      </c>
      <c r="G10" s="156">
        <v>100000</v>
      </c>
      <c r="H10" s="147"/>
      <c r="I10" s="155" t="s">
        <v>369</v>
      </c>
      <c r="J10" s="156">
        <v>100000</v>
      </c>
      <c r="K10" s="156">
        <f t="shared" si="0"/>
        <v>200000</v>
      </c>
      <c r="L10" s="427"/>
    </row>
    <row r="11" spans="2:12" s="1" customFormat="1" ht="18.600000000000001" customHeight="1" x14ac:dyDescent="0.3">
      <c r="B11" s="279"/>
      <c r="C11" s="190"/>
      <c r="D11" s="191"/>
      <c r="E11" s="191"/>
      <c r="F11" s="155" t="s">
        <v>112</v>
      </c>
      <c r="G11" s="156">
        <v>100000</v>
      </c>
      <c r="H11" s="147"/>
      <c r="I11" s="155" t="s">
        <v>369</v>
      </c>
      <c r="J11" s="156">
        <v>100000</v>
      </c>
      <c r="K11" s="156">
        <f t="shared" si="0"/>
        <v>200000</v>
      </c>
      <c r="L11" s="427"/>
    </row>
    <row r="12" spans="2:12" s="1" customFormat="1" ht="18.600000000000001" customHeight="1" x14ac:dyDescent="0.3">
      <c r="B12" s="279"/>
      <c r="C12" s="190"/>
      <c r="D12" s="191"/>
      <c r="E12" s="191"/>
      <c r="F12" s="155" t="s">
        <v>113</v>
      </c>
      <c r="G12" s="156">
        <v>100000</v>
      </c>
      <c r="H12" s="147"/>
      <c r="I12" s="155" t="s">
        <v>369</v>
      </c>
      <c r="J12" s="156">
        <v>100000</v>
      </c>
      <c r="K12" s="156">
        <f t="shared" si="0"/>
        <v>200000</v>
      </c>
      <c r="L12" s="427"/>
    </row>
    <row r="13" spans="2:12" s="5" customFormat="1" ht="18.600000000000001" customHeight="1" x14ac:dyDescent="0.3">
      <c r="B13" s="279"/>
      <c r="C13" s="190"/>
      <c r="D13" s="191"/>
      <c r="E13" s="191"/>
      <c r="F13" s="155" t="s">
        <v>1155</v>
      </c>
      <c r="G13" s="156">
        <v>100000</v>
      </c>
      <c r="H13" s="147"/>
      <c r="I13" s="155" t="s">
        <v>369</v>
      </c>
      <c r="J13" s="156">
        <v>100000</v>
      </c>
      <c r="K13" s="156">
        <f t="shared" si="0"/>
        <v>200000</v>
      </c>
      <c r="L13" s="427"/>
    </row>
    <row r="14" spans="2:12" s="1" customFormat="1" ht="18.600000000000001" customHeight="1" x14ac:dyDescent="0.3">
      <c r="B14" s="279"/>
      <c r="C14" s="190"/>
      <c r="D14" s="191"/>
      <c r="E14" s="191"/>
      <c r="F14" s="155" t="s">
        <v>1161</v>
      </c>
      <c r="G14" s="156">
        <v>100000</v>
      </c>
      <c r="H14" s="147"/>
      <c r="I14" s="155" t="s">
        <v>369</v>
      </c>
      <c r="J14" s="156">
        <v>100000</v>
      </c>
      <c r="K14" s="156">
        <f t="shared" si="0"/>
        <v>200000</v>
      </c>
      <c r="L14" s="427"/>
    </row>
    <row r="15" spans="2:12" s="1" customFormat="1" ht="18.600000000000001" customHeight="1" x14ac:dyDescent="0.3">
      <c r="B15" s="279"/>
      <c r="C15" s="190"/>
      <c r="D15" s="191"/>
      <c r="E15" s="191"/>
      <c r="F15" s="157" t="s">
        <v>116</v>
      </c>
      <c r="G15" s="156">
        <v>300000</v>
      </c>
      <c r="H15" s="147"/>
      <c r="I15" s="157" t="s">
        <v>369</v>
      </c>
      <c r="J15" s="158">
        <v>100000</v>
      </c>
      <c r="K15" s="158">
        <f t="shared" si="0"/>
        <v>400000</v>
      </c>
      <c r="L15" s="427"/>
    </row>
    <row r="16" spans="2:12" s="1" customFormat="1" ht="18.600000000000001" customHeight="1" x14ac:dyDescent="0.3">
      <c r="B16" s="279"/>
      <c r="C16" s="190"/>
      <c r="D16" s="191"/>
      <c r="E16" s="191"/>
      <c r="F16" s="157" t="s">
        <v>117</v>
      </c>
      <c r="G16" s="158">
        <v>100000</v>
      </c>
      <c r="H16" s="147"/>
      <c r="I16" s="157" t="s">
        <v>369</v>
      </c>
      <c r="J16" s="158">
        <v>100000</v>
      </c>
      <c r="K16" s="158">
        <f t="shared" si="0"/>
        <v>200000</v>
      </c>
      <c r="L16" s="427"/>
    </row>
    <row r="17" spans="2:12" s="1" customFormat="1" ht="18.600000000000001" customHeight="1" x14ac:dyDescent="0.3">
      <c r="B17" s="279"/>
      <c r="C17" s="190"/>
      <c r="D17" s="191"/>
      <c r="E17" s="191"/>
      <c r="F17" s="157" t="s">
        <v>1187</v>
      </c>
      <c r="G17" s="156">
        <v>300000</v>
      </c>
      <c r="H17" s="147"/>
      <c r="I17" s="157" t="s">
        <v>369</v>
      </c>
      <c r="J17" s="158">
        <v>100000</v>
      </c>
      <c r="K17" s="158">
        <f>G17+J17</f>
        <v>400000</v>
      </c>
      <c r="L17" s="427"/>
    </row>
    <row r="18" spans="2:12" s="1" customFormat="1" ht="18.600000000000001" customHeight="1" x14ac:dyDescent="0.3">
      <c r="B18" s="279"/>
      <c r="C18" s="190"/>
      <c r="D18" s="191"/>
      <c r="E18" s="191"/>
      <c r="F18" s="157" t="s">
        <v>1188</v>
      </c>
      <c r="G18" s="158">
        <v>100000</v>
      </c>
      <c r="H18" s="147"/>
      <c r="I18" s="157" t="s">
        <v>369</v>
      </c>
      <c r="J18" s="158">
        <v>100000</v>
      </c>
      <c r="K18" s="158">
        <f>G18+J18</f>
        <v>200000</v>
      </c>
      <c r="L18" s="427"/>
    </row>
    <row r="19" spans="2:12" s="1" customFormat="1" ht="18.600000000000001" customHeight="1" x14ac:dyDescent="0.3">
      <c r="B19" s="280"/>
      <c r="C19" s="166"/>
      <c r="D19" s="276"/>
      <c r="E19" s="276"/>
      <c r="F19" s="174" t="s">
        <v>155</v>
      </c>
      <c r="G19" s="175">
        <v>100000</v>
      </c>
      <c r="H19" s="148"/>
      <c r="I19" s="174" t="s">
        <v>369</v>
      </c>
      <c r="J19" s="175">
        <v>100000</v>
      </c>
      <c r="K19" s="175">
        <f t="shared" si="0"/>
        <v>200000</v>
      </c>
      <c r="L19" s="428"/>
    </row>
    <row r="20" spans="2:12" s="1" customFormat="1" ht="18.600000000000001" customHeight="1" x14ac:dyDescent="0.3">
      <c r="C20" s="5"/>
    </row>
    <row r="21" spans="2:12" ht="18.600000000000001" customHeight="1" x14ac:dyDescent="0.3">
      <c r="B21" s="304" t="s">
        <v>1429</v>
      </c>
      <c r="C21" s="305"/>
      <c r="D21" s="305"/>
      <c r="E21" s="305"/>
      <c r="F21" s="305"/>
      <c r="G21" s="305"/>
      <c r="H21" s="305"/>
      <c r="I21" s="305"/>
      <c r="J21" s="305"/>
      <c r="K21" s="305"/>
      <c r="L21" s="305"/>
    </row>
    <row r="22" spans="2:12" ht="18.600000000000001" customHeight="1" x14ac:dyDescent="0.3">
      <c r="B22" s="405" t="s">
        <v>70</v>
      </c>
      <c r="C22" s="405" t="s">
        <v>71</v>
      </c>
      <c r="D22" s="405" t="s">
        <v>72</v>
      </c>
      <c r="E22" s="420" t="s">
        <v>25</v>
      </c>
      <c r="F22" s="421"/>
      <c r="G22" s="422"/>
      <c r="H22" s="420" t="s">
        <v>26</v>
      </c>
      <c r="I22" s="421"/>
      <c r="J22" s="422"/>
      <c r="K22" s="410" t="s">
        <v>77</v>
      </c>
      <c r="L22" s="418" t="s">
        <v>75</v>
      </c>
    </row>
    <row r="23" spans="2:12" ht="18.600000000000001" customHeight="1" x14ac:dyDescent="0.3">
      <c r="B23" s="406"/>
      <c r="C23" s="406"/>
      <c r="D23" s="406"/>
      <c r="E23" s="43" t="s">
        <v>23</v>
      </c>
      <c r="F23" s="43" t="s">
        <v>20</v>
      </c>
      <c r="G23" s="43" t="s">
        <v>19</v>
      </c>
      <c r="H23" s="43" t="s">
        <v>23</v>
      </c>
      <c r="I23" s="43" t="s">
        <v>20</v>
      </c>
      <c r="J23" s="351" t="s">
        <v>19</v>
      </c>
      <c r="K23" s="417"/>
      <c r="L23" s="419"/>
    </row>
    <row r="24" spans="2:12" ht="18.600000000000001" customHeight="1" x14ac:dyDescent="0.3">
      <c r="B24" s="151" t="s">
        <v>366</v>
      </c>
      <c r="C24" s="306" t="s">
        <v>1415</v>
      </c>
      <c r="D24" s="151" t="s">
        <v>1430</v>
      </c>
      <c r="E24" s="25" t="s">
        <v>47</v>
      </c>
      <c r="F24" s="25" t="s">
        <v>696</v>
      </c>
      <c r="G24" s="179">
        <v>150000</v>
      </c>
      <c r="H24" s="25" t="s">
        <v>48</v>
      </c>
      <c r="I24" s="25" t="s">
        <v>1082</v>
      </c>
      <c r="J24" s="179">
        <v>150000</v>
      </c>
      <c r="K24" s="180">
        <f t="shared" ref="K24:K25" si="1">+J24+G24</f>
        <v>300000</v>
      </c>
      <c r="L24" s="292"/>
    </row>
    <row r="25" spans="2:12" ht="18.600000000000001" customHeight="1" x14ac:dyDescent="0.3">
      <c r="B25" s="151" t="s">
        <v>366</v>
      </c>
      <c r="C25" s="307" t="s">
        <v>1415</v>
      </c>
      <c r="D25" s="151" t="s">
        <v>1430</v>
      </c>
      <c r="E25" s="25" t="s">
        <v>47</v>
      </c>
      <c r="F25" s="25" t="s">
        <v>1431</v>
      </c>
      <c r="G25" s="179">
        <v>100000</v>
      </c>
      <c r="H25" s="25" t="s">
        <v>48</v>
      </c>
      <c r="I25" s="25" t="s">
        <v>1432</v>
      </c>
      <c r="J25" s="179">
        <v>100000</v>
      </c>
      <c r="K25" s="180">
        <f t="shared" si="1"/>
        <v>200000</v>
      </c>
      <c r="L25" s="292"/>
    </row>
  </sheetData>
  <mergeCells count="15">
    <mergeCell ref="K6:K7"/>
    <mergeCell ref="L6:L7"/>
    <mergeCell ref="L8:L19"/>
    <mergeCell ref="B6:B7"/>
    <mergeCell ref="C6:C7"/>
    <mergeCell ref="D6:D7"/>
    <mergeCell ref="E6:G6"/>
    <mergeCell ref="H6:J6"/>
    <mergeCell ref="K22:K23"/>
    <mergeCell ref="L22:L23"/>
    <mergeCell ref="B22:B23"/>
    <mergeCell ref="C22:C23"/>
    <mergeCell ref="D22:D23"/>
    <mergeCell ref="E22:G22"/>
    <mergeCell ref="H22:J22"/>
  </mergeCells>
  <phoneticPr fontId="2" type="noConversion"/>
  <conditionalFormatting sqref="M1:M4">
    <cfRule type="duplicateValues" dxfId="71" priority="5"/>
  </conditionalFormatting>
  <pageMargins left="0.25" right="0.25" top="0.75" bottom="0.75" header="0.3" footer="0.3"/>
  <pageSetup paperSize="9" scale="4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B2:U520"/>
  <sheetViews>
    <sheetView showGridLines="0" zoomScale="55" zoomScaleNormal="5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70" sqref="G70"/>
    </sheetView>
  </sheetViews>
  <sheetFormatPr defaultColWidth="8.75" defaultRowHeight="16.5" x14ac:dyDescent="0.3"/>
  <cols>
    <col min="1" max="1" width="3.75" style="193" customWidth="1"/>
    <col min="2" max="2" width="8.75" style="193"/>
    <col min="3" max="3" width="11.375" style="193" bestFit="1" customWidth="1"/>
    <col min="4" max="4" width="27.375" style="193" customWidth="1"/>
    <col min="5" max="5" width="27.375" style="196" customWidth="1"/>
    <col min="6" max="7" width="20.625" style="245" customWidth="1"/>
    <col min="8" max="8" width="10.75" style="196" customWidth="1"/>
    <col min="9" max="10" width="20.625" style="193" customWidth="1"/>
    <col min="11" max="11" width="15.125" style="196" customWidth="1"/>
    <col min="12" max="13" width="20.625" style="196" customWidth="1"/>
    <col min="14" max="14" width="14.25" style="196" customWidth="1"/>
    <col min="15" max="16" width="20.625" style="193" customWidth="1"/>
    <col min="17" max="17" width="13.25" style="196" customWidth="1"/>
    <col min="18" max="19" width="20.625" style="193" customWidth="1"/>
    <col min="20" max="20" width="20.625" style="196" customWidth="1"/>
    <col min="21" max="21" width="6.125" style="193" bestFit="1" customWidth="1"/>
    <col min="22" max="22" width="25.375" style="193" customWidth="1"/>
    <col min="23" max="16384" width="8.75" style="193"/>
  </cols>
  <sheetData>
    <row r="2" spans="2:21" ht="33" customHeight="1" x14ac:dyDescent="0.3">
      <c r="B2" s="192" t="s">
        <v>60</v>
      </c>
      <c r="I2" s="194"/>
      <c r="J2" s="194" t="s">
        <v>91</v>
      </c>
    </row>
    <row r="3" spans="2:21" ht="18.600000000000001" customHeight="1" x14ac:dyDescent="0.3">
      <c r="B3" s="195"/>
    </row>
    <row r="4" spans="2:21" ht="18.600000000000001" customHeight="1" x14ac:dyDescent="0.3">
      <c r="B4" s="196"/>
    </row>
    <row r="5" spans="2:21" ht="18.600000000000001" customHeight="1" x14ac:dyDescent="0.3">
      <c r="B5" s="197" t="s">
        <v>1405</v>
      </c>
      <c r="C5" s="198"/>
      <c r="D5" s="199"/>
      <c r="F5" s="246"/>
      <c r="G5" s="247"/>
      <c r="I5" s="201"/>
      <c r="J5" s="200"/>
      <c r="K5" s="248"/>
      <c r="L5" s="248"/>
      <c r="M5" s="248"/>
      <c r="N5" s="248"/>
      <c r="O5" s="200"/>
      <c r="P5" s="200"/>
      <c r="Q5" s="248"/>
      <c r="R5" s="200"/>
      <c r="S5" s="200"/>
      <c r="T5" s="248"/>
      <c r="U5" s="202"/>
    </row>
    <row r="6" spans="2:21" ht="57" customHeight="1" x14ac:dyDescent="0.3">
      <c r="B6" s="430" t="s">
        <v>1</v>
      </c>
      <c r="C6" s="430" t="s">
        <v>2</v>
      </c>
      <c r="D6" s="430" t="s">
        <v>39</v>
      </c>
      <c r="E6" s="334" t="s">
        <v>25</v>
      </c>
      <c r="F6" s="334"/>
      <c r="G6" s="334"/>
      <c r="H6" s="334" t="s">
        <v>26</v>
      </c>
      <c r="I6" s="334"/>
      <c r="J6" s="334"/>
      <c r="K6" s="334" t="s">
        <v>92</v>
      </c>
      <c r="L6" s="334"/>
      <c r="M6" s="334"/>
      <c r="N6" s="334" t="s">
        <v>93</v>
      </c>
      <c r="O6" s="334"/>
      <c r="P6" s="334"/>
      <c r="Q6" s="334" t="s">
        <v>94</v>
      </c>
      <c r="R6" s="334"/>
      <c r="S6" s="334"/>
      <c r="T6" s="228" t="s">
        <v>1367</v>
      </c>
      <c r="U6" s="430" t="s">
        <v>5</v>
      </c>
    </row>
    <row r="7" spans="2:21" x14ac:dyDescent="0.3">
      <c r="B7" s="430"/>
      <c r="C7" s="430"/>
      <c r="D7" s="431"/>
      <c r="E7" s="334" t="s">
        <v>3</v>
      </c>
      <c r="F7" s="150" t="s">
        <v>4</v>
      </c>
      <c r="G7" s="31" t="s">
        <v>10</v>
      </c>
      <c r="H7" s="334" t="s">
        <v>3</v>
      </c>
      <c r="I7" s="334" t="s">
        <v>4</v>
      </c>
      <c r="J7" s="31" t="s">
        <v>10</v>
      </c>
      <c r="K7" s="334" t="s">
        <v>3</v>
      </c>
      <c r="L7" s="334" t="s">
        <v>4</v>
      </c>
      <c r="M7" s="31" t="s">
        <v>10</v>
      </c>
      <c r="N7" s="334" t="s">
        <v>3</v>
      </c>
      <c r="O7" s="334" t="s">
        <v>4</v>
      </c>
      <c r="P7" s="31" t="s">
        <v>10</v>
      </c>
      <c r="Q7" s="334" t="s">
        <v>3</v>
      </c>
      <c r="R7" s="334" t="s">
        <v>4</v>
      </c>
      <c r="S7" s="31" t="s">
        <v>10</v>
      </c>
      <c r="T7" s="229"/>
      <c r="U7" s="430"/>
    </row>
    <row r="8" spans="2:21" x14ac:dyDescent="0.3">
      <c r="B8" s="227" t="s">
        <v>1443</v>
      </c>
      <c r="C8" s="227" t="s">
        <v>1444</v>
      </c>
      <c r="D8" s="227" t="s">
        <v>1445</v>
      </c>
      <c r="E8" s="227" t="s">
        <v>1446</v>
      </c>
      <c r="F8" s="206" t="s">
        <v>1269</v>
      </c>
      <c r="G8" s="205">
        <v>100000</v>
      </c>
      <c r="H8" s="227" t="s">
        <v>1447</v>
      </c>
      <c r="I8" s="207" t="s">
        <v>1313</v>
      </c>
      <c r="J8" s="205">
        <v>100000</v>
      </c>
      <c r="K8" s="227" t="s">
        <v>1450</v>
      </c>
      <c r="L8" s="255" t="s">
        <v>226</v>
      </c>
      <c r="M8" s="205">
        <v>0</v>
      </c>
      <c r="N8" s="227" t="s">
        <v>1449</v>
      </c>
      <c r="O8" s="207" t="s">
        <v>1207</v>
      </c>
      <c r="P8" s="207">
        <v>100000</v>
      </c>
      <c r="Q8" s="227" t="s">
        <v>1448</v>
      </c>
      <c r="R8" s="205" t="s">
        <v>1069</v>
      </c>
      <c r="S8" s="205">
        <v>20000</v>
      </c>
      <c r="T8" s="205">
        <f t="shared" ref="T8:T71" si="0">SUM(J8,G8,M8,P8,S8)</f>
        <v>320000</v>
      </c>
      <c r="U8" s="208"/>
    </row>
    <row r="9" spans="2:21" x14ac:dyDescent="0.3">
      <c r="B9" s="227"/>
      <c r="C9" s="227"/>
      <c r="D9" s="227"/>
      <c r="E9" s="227"/>
      <c r="F9" s="204" t="s">
        <v>109</v>
      </c>
      <c r="G9" s="205">
        <v>100000</v>
      </c>
      <c r="H9" s="227"/>
      <c r="I9" s="205" t="s">
        <v>159</v>
      </c>
      <c r="J9" s="205">
        <v>100000</v>
      </c>
      <c r="K9" s="227"/>
      <c r="L9" s="255" t="s">
        <v>226</v>
      </c>
      <c r="M9" s="214">
        <v>0</v>
      </c>
      <c r="N9" s="227"/>
      <c r="O9" s="207" t="s">
        <v>1207</v>
      </c>
      <c r="P9" s="207">
        <v>100000</v>
      </c>
      <c r="Q9" s="227"/>
      <c r="R9" s="205" t="s">
        <v>1069</v>
      </c>
      <c r="S9" s="209">
        <v>20000</v>
      </c>
      <c r="T9" s="205">
        <f t="shared" si="0"/>
        <v>320000</v>
      </c>
      <c r="U9" s="208"/>
    </row>
    <row r="10" spans="2:21" x14ac:dyDescent="0.3">
      <c r="B10" s="227"/>
      <c r="C10" s="227"/>
      <c r="D10" s="227"/>
      <c r="E10" s="227"/>
      <c r="F10" s="204" t="s">
        <v>1351</v>
      </c>
      <c r="G10" s="205">
        <v>100000</v>
      </c>
      <c r="H10" s="227"/>
      <c r="I10" s="205" t="s">
        <v>159</v>
      </c>
      <c r="J10" s="205">
        <v>100000</v>
      </c>
      <c r="K10" s="227"/>
      <c r="L10" s="255" t="s">
        <v>226</v>
      </c>
      <c r="M10" s="214">
        <v>0</v>
      </c>
      <c r="N10" s="227"/>
      <c r="O10" s="207" t="s">
        <v>1207</v>
      </c>
      <c r="P10" s="207">
        <v>100000</v>
      </c>
      <c r="Q10" s="227"/>
      <c r="R10" s="205" t="s">
        <v>1069</v>
      </c>
      <c r="S10" s="209">
        <v>20000</v>
      </c>
      <c r="T10" s="205">
        <f t="shared" si="0"/>
        <v>320000</v>
      </c>
      <c r="U10" s="208"/>
    </row>
    <row r="11" spans="2:21" x14ac:dyDescent="0.3">
      <c r="B11" s="227"/>
      <c r="C11" s="227"/>
      <c r="D11" s="227"/>
      <c r="E11" s="227"/>
      <c r="F11" s="204" t="s">
        <v>112</v>
      </c>
      <c r="G11" s="205">
        <v>100000</v>
      </c>
      <c r="H11" s="227"/>
      <c r="I11" s="205" t="s">
        <v>159</v>
      </c>
      <c r="J11" s="205">
        <v>100000</v>
      </c>
      <c r="K11" s="227"/>
      <c r="L11" s="255" t="s">
        <v>226</v>
      </c>
      <c r="M11" s="214">
        <v>0</v>
      </c>
      <c r="N11" s="227"/>
      <c r="O11" s="207" t="s">
        <v>1207</v>
      </c>
      <c r="P11" s="207">
        <v>100000</v>
      </c>
      <c r="Q11" s="227"/>
      <c r="R11" s="205" t="s">
        <v>1069</v>
      </c>
      <c r="S11" s="209">
        <v>20000</v>
      </c>
      <c r="T11" s="205">
        <f t="shared" si="0"/>
        <v>320000</v>
      </c>
      <c r="U11" s="208"/>
    </row>
    <row r="12" spans="2:21" x14ac:dyDescent="0.3">
      <c r="B12" s="227"/>
      <c r="C12" s="227"/>
      <c r="D12" s="227"/>
      <c r="E12" s="227"/>
      <c r="F12" s="204" t="s">
        <v>113</v>
      </c>
      <c r="G12" s="205">
        <v>100000</v>
      </c>
      <c r="H12" s="227"/>
      <c r="I12" s="205" t="s">
        <v>159</v>
      </c>
      <c r="J12" s="205">
        <v>100000</v>
      </c>
      <c r="K12" s="227"/>
      <c r="L12" s="255" t="s">
        <v>226</v>
      </c>
      <c r="M12" s="214">
        <v>0</v>
      </c>
      <c r="N12" s="227"/>
      <c r="O12" s="207" t="s">
        <v>1207</v>
      </c>
      <c r="P12" s="207">
        <v>100000</v>
      </c>
      <c r="Q12" s="227"/>
      <c r="R12" s="205" t="s">
        <v>1069</v>
      </c>
      <c r="S12" s="209">
        <v>20000</v>
      </c>
      <c r="T12" s="205">
        <f t="shared" si="0"/>
        <v>320000</v>
      </c>
      <c r="U12" s="208"/>
    </row>
    <row r="13" spans="2:21" ht="17.45" customHeight="1" x14ac:dyDescent="0.3">
      <c r="B13" s="227"/>
      <c r="C13" s="227"/>
      <c r="D13" s="227"/>
      <c r="E13" s="227"/>
      <c r="F13" s="204" t="s">
        <v>116</v>
      </c>
      <c r="G13" s="205">
        <v>100000</v>
      </c>
      <c r="H13" s="227"/>
      <c r="I13" s="205" t="s">
        <v>159</v>
      </c>
      <c r="J13" s="205">
        <v>100000</v>
      </c>
      <c r="K13" s="227"/>
      <c r="L13" s="255" t="s">
        <v>226</v>
      </c>
      <c r="M13" s="205">
        <v>0</v>
      </c>
      <c r="N13" s="227"/>
      <c r="O13" s="207" t="s">
        <v>1207</v>
      </c>
      <c r="P13" s="207">
        <v>100000</v>
      </c>
      <c r="Q13" s="227"/>
      <c r="R13" s="205" t="s">
        <v>1069</v>
      </c>
      <c r="S13" s="205">
        <v>20000</v>
      </c>
      <c r="T13" s="205">
        <f t="shared" si="0"/>
        <v>320000</v>
      </c>
      <c r="U13" s="208"/>
    </row>
    <row r="14" spans="2:21" x14ac:dyDescent="0.3">
      <c r="B14" s="227"/>
      <c r="C14" s="227"/>
      <c r="D14" s="227"/>
      <c r="E14" s="227"/>
      <c r="F14" s="204" t="s">
        <v>109</v>
      </c>
      <c r="G14" s="205">
        <v>100000</v>
      </c>
      <c r="H14" s="227"/>
      <c r="I14" s="205" t="s">
        <v>381</v>
      </c>
      <c r="J14" s="205">
        <v>100000</v>
      </c>
      <c r="K14" s="227"/>
      <c r="L14" s="255" t="s">
        <v>226</v>
      </c>
      <c r="M14" s="214">
        <v>0</v>
      </c>
      <c r="N14" s="227"/>
      <c r="O14" s="207" t="s">
        <v>1207</v>
      </c>
      <c r="P14" s="207">
        <v>100000</v>
      </c>
      <c r="Q14" s="227"/>
      <c r="R14" s="205" t="s">
        <v>1069</v>
      </c>
      <c r="S14" s="209">
        <v>20000</v>
      </c>
      <c r="T14" s="205">
        <f t="shared" si="0"/>
        <v>320000</v>
      </c>
      <c r="U14" s="208"/>
    </row>
    <row r="15" spans="2:21" x14ac:dyDescent="0.3">
      <c r="B15" s="227"/>
      <c r="C15" s="227"/>
      <c r="D15" s="227"/>
      <c r="E15" s="227"/>
      <c r="F15" s="204" t="s">
        <v>1351</v>
      </c>
      <c r="G15" s="205">
        <v>100000</v>
      </c>
      <c r="H15" s="227"/>
      <c r="I15" s="205" t="s">
        <v>381</v>
      </c>
      <c r="J15" s="205">
        <v>100000</v>
      </c>
      <c r="K15" s="227"/>
      <c r="L15" s="255" t="s">
        <v>226</v>
      </c>
      <c r="M15" s="214">
        <v>0</v>
      </c>
      <c r="N15" s="227"/>
      <c r="O15" s="207" t="s">
        <v>1207</v>
      </c>
      <c r="P15" s="207">
        <v>100000</v>
      </c>
      <c r="Q15" s="227"/>
      <c r="R15" s="205" t="s">
        <v>1069</v>
      </c>
      <c r="S15" s="209">
        <v>20000</v>
      </c>
      <c r="T15" s="205">
        <f t="shared" si="0"/>
        <v>320000</v>
      </c>
      <c r="U15" s="208"/>
    </row>
    <row r="16" spans="2:21" x14ac:dyDescent="0.3">
      <c r="B16" s="227"/>
      <c r="C16" s="227"/>
      <c r="D16" s="227"/>
      <c r="E16" s="227"/>
      <c r="F16" s="204" t="s">
        <v>112</v>
      </c>
      <c r="G16" s="205">
        <v>100000</v>
      </c>
      <c r="H16" s="227"/>
      <c r="I16" s="205" t="s">
        <v>381</v>
      </c>
      <c r="J16" s="205">
        <v>100000</v>
      </c>
      <c r="K16" s="227"/>
      <c r="L16" s="255" t="s">
        <v>226</v>
      </c>
      <c r="M16" s="214">
        <v>0</v>
      </c>
      <c r="N16" s="227"/>
      <c r="O16" s="207" t="s">
        <v>1207</v>
      </c>
      <c r="P16" s="207">
        <v>100000</v>
      </c>
      <c r="Q16" s="227"/>
      <c r="R16" s="205" t="s">
        <v>1069</v>
      </c>
      <c r="S16" s="209">
        <v>20000</v>
      </c>
      <c r="T16" s="205">
        <f t="shared" si="0"/>
        <v>320000</v>
      </c>
      <c r="U16" s="208"/>
    </row>
    <row r="17" spans="2:21" x14ac:dyDescent="0.3">
      <c r="B17" s="227"/>
      <c r="C17" s="227"/>
      <c r="D17" s="227"/>
      <c r="E17" s="227"/>
      <c r="F17" s="204" t="s">
        <v>113</v>
      </c>
      <c r="G17" s="205">
        <v>100000</v>
      </c>
      <c r="H17" s="227"/>
      <c r="I17" s="205" t="s">
        <v>381</v>
      </c>
      <c r="J17" s="205">
        <v>100000</v>
      </c>
      <c r="K17" s="227"/>
      <c r="L17" s="255" t="s">
        <v>226</v>
      </c>
      <c r="M17" s="214">
        <v>0</v>
      </c>
      <c r="N17" s="227"/>
      <c r="O17" s="207" t="s">
        <v>1207</v>
      </c>
      <c r="P17" s="207">
        <v>100000</v>
      </c>
      <c r="Q17" s="227"/>
      <c r="R17" s="205" t="s">
        <v>1069</v>
      </c>
      <c r="S17" s="209">
        <v>20000</v>
      </c>
      <c r="T17" s="205">
        <f t="shared" si="0"/>
        <v>320000</v>
      </c>
      <c r="U17" s="208"/>
    </row>
    <row r="18" spans="2:21" x14ac:dyDescent="0.3">
      <c r="B18" s="227"/>
      <c r="C18" s="227"/>
      <c r="D18" s="227"/>
      <c r="E18" s="227"/>
      <c r="F18" s="204" t="s">
        <v>116</v>
      </c>
      <c r="G18" s="205">
        <v>100000</v>
      </c>
      <c r="H18" s="227"/>
      <c r="I18" s="205" t="s">
        <v>381</v>
      </c>
      <c r="J18" s="205">
        <v>100000</v>
      </c>
      <c r="K18" s="227"/>
      <c r="L18" s="255" t="s">
        <v>226</v>
      </c>
      <c r="M18" s="205">
        <v>0</v>
      </c>
      <c r="N18" s="227"/>
      <c r="O18" s="207" t="s">
        <v>1207</v>
      </c>
      <c r="P18" s="207">
        <v>100000</v>
      </c>
      <c r="Q18" s="227"/>
      <c r="R18" s="205" t="s">
        <v>1069</v>
      </c>
      <c r="S18" s="205">
        <v>20000</v>
      </c>
      <c r="T18" s="205">
        <f t="shared" si="0"/>
        <v>320000</v>
      </c>
      <c r="U18" s="208"/>
    </row>
    <row r="19" spans="2:21" x14ac:dyDescent="0.3">
      <c r="B19" s="212"/>
      <c r="C19" s="213"/>
      <c r="D19" s="213"/>
      <c r="E19" s="230"/>
      <c r="F19" s="214" t="s">
        <v>155</v>
      </c>
      <c r="G19" s="214">
        <v>100000</v>
      </c>
      <c r="H19" s="230"/>
      <c r="I19" s="216" t="s">
        <v>159</v>
      </c>
      <c r="J19" s="215">
        <v>50000</v>
      </c>
      <c r="K19" s="230"/>
      <c r="L19" s="253" t="s">
        <v>226</v>
      </c>
      <c r="M19" s="214">
        <v>0</v>
      </c>
      <c r="N19" s="230"/>
      <c r="O19" s="252" t="s">
        <v>1207</v>
      </c>
      <c r="P19" s="261">
        <v>100000</v>
      </c>
      <c r="Q19" s="230"/>
      <c r="R19" s="216" t="s">
        <v>1069</v>
      </c>
      <c r="S19" s="215">
        <v>20000</v>
      </c>
      <c r="T19" s="249">
        <f t="shared" si="0"/>
        <v>270000</v>
      </c>
      <c r="U19" s="217"/>
    </row>
    <row r="20" spans="2:21" x14ac:dyDescent="0.3">
      <c r="B20" s="212"/>
      <c r="C20" s="213"/>
      <c r="D20" s="213"/>
      <c r="E20" s="230"/>
      <c r="F20" s="214" t="s">
        <v>155</v>
      </c>
      <c r="G20" s="214">
        <v>100000</v>
      </c>
      <c r="H20" s="230"/>
      <c r="I20" s="216" t="s">
        <v>381</v>
      </c>
      <c r="J20" s="215">
        <v>50000</v>
      </c>
      <c r="K20" s="230"/>
      <c r="L20" s="253" t="s">
        <v>226</v>
      </c>
      <c r="M20" s="214">
        <v>0</v>
      </c>
      <c r="N20" s="230"/>
      <c r="O20" s="252" t="s">
        <v>1207</v>
      </c>
      <c r="P20" s="261">
        <v>100000</v>
      </c>
      <c r="Q20" s="230"/>
      <c r="R20" s="216" t="s">
        <v>1069</v>
      </c>
      <c r="S20" s="215">
        <v>20000</v>
      </c>
      <c r="T20" s="249">
        <f t="shared" si="0"/>
        <v>270000</v>
      </c>
      <c r="U20" s="217"/>
    </row>
    <row r="21" spans="2:21" x14ac:dyDescent="0.3">
      <c r="B21" s="227"/>
      <c r="C21" s="227"/>
      <c r="D21" s="227"/>
      <c r="E21" s="227"/>
      <c r="F21" s="206" t="s">
        <v>1288</v>
      </c>
      <c r="G21" s="205">
        <v>100000</v>
      </c>
      <c r="H21" s="227"/>
      <c r="I21" s="205" t="s">
        <v>159</v>
      </c>
      <c r="J21" s="205">
        <v>100000</v>
      </c>
      <c r="K21" s="227"/>
      <c r="L21" s="255" t="s">
        <v>226</v>
      </c>
      <c r="M21" s="214">
        <v>0</v>
      </c>
      <c r="N21" s="227"/>
      <c r="O21" s="207" t="s">
        <v>1207</v>
      </c>
      <c r="P21" s="207">
        <v>100000</v>
      </c>
      <c r="Q21" s="227"/>
      <c r="R21" s="205" t="s">
        <v>1069</v>
      </c>
      <c r="S21" s="209">
        <v>20000</v>
      </c>
      <c r="T21" s="205">
        <f t="shared" si="0"/>
        <v>320000</v>
      </c>
      <c r="U21" s="208"/>
    </row>
    <row r="22" spans="2:21" x14ac:dyDescent="0.3">
      <c r="B22" s="227"/>
      <c r="C22" s="227"/>
      <c r="D22" s="227"/>
      <c r="E22" s="227"/>
      <c r="F22" s="206" t="s">
        <v>1288</v>
      </c>
      <c r="G22" s="205">
        <v>100000</v>
      </c>
      <c r="H22" s="227"/>
      <c r="I22" s="205" t="s">
        <v>381</v>
      </c>
      <c r="J22" s="205">
        <v>100000</v>
      </c>
      <c r="K22" s="227"/>
      <c r="L22" s="255" t="s">
        <v>226</v>
      </c>
      <c r="M22" s="214">
        <v>0</v>
      </c>
      <c r="N22" s="227"/>
      <c r="O22" s="207" t="s">
        <v>1207</v>
      </c>
      <c r="P22" s="207">
        <v>100000</v>
      </c>
      <c r="Q22" s="227"/>
      <c r="R22" s="205" t="s">
        <v>1069</v>
      </c>
      <c r="S22" s="209">
        <v>20000</v>
      </c>
      <c r="T22" s="205">
        <f t="shared" si="0"/>
        <v>320000</v>
      </c>
      <c r="U22" s="208"/>
    </row>
    <row r="23" spans="2:21" x14ac:dyDescent="0.3">
      <c r="B23" s="227"/>
      <c r="C23" s="227"/>
      <c r="D23" s="227"/>
      <c r="E23" s="227"/>
      <c r="F23" s="206" t="s">
        <v>1260</v>
      </c>
      <c r="G23" s="205">
        <v>100000</v>
      </c>
      <c r="H23" s="227"/>
      <c r="I23" s="205" t="s">
        <v>159</v>
      </c>
      <c r="J23" s="205">
        <v>100000</v>
      </c>
      <c r="K23" s="227"/>
      <c r="L23" s="255" t="s">
        <v>226</v>
      </c>
      <c r="M23" s="214">
        <v>0</v>
      </c>
      <c r="N23" s="227"/>
      <c r="O23" s="207" t="s">
        <v>1207</v>
      </c>
      <c r="P23" s="207">
        <v>100000</v>
      </c>
      <c r="Q23" s="227"/>
      <c r="R23" s="205" t="s">
        <v>1069</v>
      </c>
      <c r="S23" s="209">
        <v>20000</v>
      </c>
      <c r="T23" s="205">
        <f t="shared" si="0"/>
        <v>320000</v>
      </c>
      <c r="U23" s="208"/>
    </row>
    <row r="24" spans="2:21" x14ac:dyDescent="0.3">
      <c r="B24" s="227"/>
      <c r="C24" s="227"/>
      <c r="D24" s="227"/>
      <c r="E24" s="227"/>
      <c r="F24" s="206" t="s">
        <v>1260</v>
      </c>
      <c r="G24" s="205">
        <v>100000</v>
      </c>
      <c r="H24" s="227"/>
      <c r="I24" s="205" t="s">
        <v>381</v>
      </c>
      <c r="J24" s="205">
        <v>100000</v>
      </c>
      <c r="K24" s="227"/>
      <c r="L24" s="255" t="s">
        <v>226</v>
      </c>
      <c r="M24" s="214">
        <v>0</v>
      </c>
      <c r="N24" s="227"/>
      <c r="O24" s="207" t="s">
        <v>1207</v>
      </c>
      <c r="P24" s="207">
        <v>100000</v>
      </c>
      <c r="Q24" s="227"/>
      <c r="R24" s="205" t="s">
        <v>1069</v>
      </c>
      <c r="S24" s="209">
        <v>20000</v>
      </c>
      <c r="T24" s="205">
        <f t="shared" si="0"/>
        <v>320000</v>
      </c>
      <c r="U24" s="208"/>
    </row>
    <row r="25" spans="2:21" x14ac:dyDescent="0.3">
      <c r="B25" s="227"/>
      <c r="C25" s="227"/>
      <c r="D25" s="227"/>
      <c r="E25" s="227"/>
      <c r="F25" s="204" t="s">
        <v>109</v>
      </c>
      <c r="G25" s="205">
        <v>100000</v>
      </c>
      <c r="H25" s="227"/>
      <c r="I25" s="207" t="s">
        <v>1311</v>
      </c>
      <c r="J25" s="205">
        <v>100000</v>
      </c>
      <c r="K25" s="227"/>
      <c r="L25" s="255" t="s">
        <v>226</v>
      </c>
      <c r="M25" s="214">
        <v>0</v>
      </c>
      <c r="N25" s="227"/>
      <c r="O25" s="207" t="s">
        <v>1207</v>
      </c>
      <c r="P25" s="207">
        <v>100000</v>
      </c>
      <c r="Q25" s="227"/>
      <c r="R25" s="205" t="s">
        <v>1069</v>
      </c>
      <c r="S25" s="209">
        <v>20000</v>
      </c>
      <c r="T25" s="205">
        <f t="shared" si="0"/>
        <v>320000</v>
      </c>
      <c r="U25" s="208"/>
    </row>
    <row r="26" spans="2:21" x14ac:dyDescent="0.3">
      <c r="B26" s="227"/>
      <c r="C26" s="227"/>
      <c r="D26" s="227"/>
      <c r="E26" s="227"/>
      <c r="F26" s="204" t="s">
        <v>1351</v>
      </c>
      <c r="G26" s="205">
        <v>100000</v>
      </c>
      <c r="H26" s="227"/>
      <c r="I26" s="207" t="s">
        <v>1311</v>
      </c>
      <c r="J26" s="205">
        <v>100000</v>
      </c>
      <c r="K26" s="227"/>
      <c r="L26" s="255" t="s">
        <v>226</v>
      </c>
      <c r="M26" s="214">
        <v>0</v>
      </c>
      <c r="N26" s="227"/>
      <c r="O26" s="207" t="s">
        <v>1207</v>
      </c>
      <c r="P26" s="207">
        <v>100000</v>
      </c>
      <c r="Q26" s="227"/>
      <c r="R26" s="205" t="s">
        <v>1069</v>
      </c>
      <c r="S26" s="209">
        <v>20000</v>
      </c>
      <c r="T26" s="205">
        <f t="shared" si="0"/>
        <v>320000</v>
      </c>
      <c r="U26" s="208"/>
    </row>
    <row r="27" spans="2:21" x14ac:dyDescent="0.3">
      <c r="B27" s="227"/>
      <c r="C27" s="227"/>
      <c r="D27" s="227"/>
      <c r="E27" s="227"/>
      <c r="F27" s="204" t="s">
        <v>112</v>
      </c>
      <c r="G27" s="205">
        <v>100000</v>
      </c>
      <c r="H27" s="227"/>
      <c r="I27" s="207" t="s">
        <v>1311</v>
      </c>
      <c r="J27" s="205">
        <v>100000</v>
      </c>
      <c r="K27" s="227"/>
      <c r="L27" s="255" t="s">
        <v>226</v>
      </c>
      <c r="M27" s="214">
        <v>0</v>
      </c>
      <c r="N27" s="227"/>
      <c r="O27" s="207" t="s">
        <v>1207</v>
      </c>
      <c r="P27" s="207">
        <v>100000</v>
      </c>
      <c r="Q27" s="227"/>
      <c r="R27" s="205" t="s">
        <v>1069</v>
      </c>
      <c r="S27" s="209">
        <v>20000</v>
      </c>
      <c r="T27" s="205">
        <f t="shared" si="0"/>
        <v>320000</v>
      </c>
      <c r="U27" s="208"/>
    </row>
    <row r="28" spans="2:21" x14ac:dyDescent="0.3">
      <c r="B28" s="227"/>
      <c r="C28" s="227"/>
      <c r="D28" s="227"/>
      <c r="E28" s="227"/>
      <c r="F28" s="204" t="s">
        <v>113</v>
      </c>
      <c r="G28" s="205">
        <v>100000</v>
      </c>
      <c r="H28" s="227"/>
      <c r="I28" s="207" t="s">
        <v>1311</v>
      </c>
      <c r="J28" s="205">
        <v>100000</v>
      </c>
      <c r="K28" s="227"/>
      <c r="L28" s="255" t="s">
        <v>226</v>
      </c>
      <c r="M28" s="214">
        <v>0</v>
      </c>
      <c r="N28" s="227"/>
      <c r="O28" s="207" t="s">
        <v>1207</v>
      </c>
      <c r="P28" s="207">
        <v>100000</v>
      </c>
      <c r="Q28" s="227"/>
      <c r="R28" s="205" t="s">
        <v>1069</v>
      </c>
      <c r="S28" s="209">
        <v>20000</v>
      </c>
      <c r="T28" s="205">
        <f t="shared" si="0"/>
        <v>320000</v>
      </c>
      <c r="U28" s="208"/>
    </row>
    <row r="29" spans="2:21" ht="17.45" customHeight="1" x14ac:dyDescent="0.3">
      <c r="B29" s="227"/>
      <c r="C29" s="227"/>
      <c r="D29" s="227"/>
      <c r="E29" s="227"/>
      <c r="F29" s="204" t="s">
        <v>116</v>
      </c>
      <c r="G29" s="205">
        <v>100000</v>
      </c>
      <c r="H29" s="227"/>
      <c r="I29" s="207" t="s">
        <v>1311</v>
      </c>
      <c r="J29" s="205">
        <v>100000</v>
      </c>
      <c r="K29" s="227"/>
      <c r="L29" s="255" t="s">
        <v>226</v>
      </c>
      <c r="M29" s="205">
        <v>0</v>
      </c>
      <c r="N29" s="227"/>
      <c r="O29" s="207" t="s">
        <v>1207</v>
      </c>
      <c r="P29" s="207">
        <v>100000</v>
      </c>
      <c r="Q29" s="227"/>
      <c r="R29" s="205" t="s">
        <v>1069</v>
      </c>
      <c r="S29" s="205">
        <v>20000</v>
      </c>
      <c r="T29" s="205">
        <f t="shared" si="0"/>
        <v>320000</v>
      </c>
      <c r="U29" s="208"/>
    </row>
    <row r="30" spans="2:21" x14ac:dyDescent="0.3">
      <c r="B30" s="212"/>
      <c r="C30" s="213"/>
      <c r="D30" s="213"/>
      <c r="E30" s="230"/>
      <c r="F30" s="214" t="s">
        <v>155</v>
      </c>
      <c r="G30" s="214">
        <v>100000</v>
      </c>
      <c r="H30" s="230"/>
      <c r="I30" s="252" t="s">
        <v>1311</v>
      </c>
      <c r="J30" s="215">
        <v>50000</v>
      </c>
      <c r="K30" s="230"/>
      <c r="L30" s="253" t="s">
        <v>226</v>
      </c>
      <c r="M30" s="214">
        <v>0</v>
      </c>
      <c r="N30" s="230"/>
      <c r="O30" s="252" t="s">
        <v>1207</v>
      </c>
      <c r="P30" s="261">
        <v>100000</v>
      </c>
      <c r="Q30" s="230"/>
      <c r="R30" s="216" t="s">
        <v>1069</v>
      </c>
      <c r="S30" s="215">
        <v>20000</v>
      </c>
      <c r="T30" s="249">
        <f t="shared" si="0"/>
        <v>270000</v>
      </c>
      <c r="U30" s="217"/>
    </row>
    <row r="31" spans="2:21" x14ac:dyDescent="0.3">
      <c r="B31" s="227"/>
      <c r="C31" s="227"/>
      <c r="D31" s="227"/>
      <c r="E31" s="227"/>
      <c r="F31" s="206" t="s">
        <v>1288</v>
      </c>
      <c r="G31" s="205">
        <v>100000</v>
      </c>
      <c r="H31" s="227"/>
      <c r="I31" s="207" t="s">
        <v>1311</v>
      </c>
      <c r="J31" s="205">
        <v>100000</v>
      </c>
      <c r="K31" s="227"/>
      <c r="L31" s="255" t="s">
        <v>226</v>
      </c>
      <c r="M31" s="214">
        <v>0</v>
      </c>
      <c r="N31" s="227"/>
      <c r="O31" s="207" t="s">
        <v>1207</v>
      </c>
      <c r="P31" s="207">
        <v>100000</v>
      </c>
      <c r="Q31" s="227"/>
      <c r="R31" s="205" t="s">
        <v>1069</v>
      </c>
      <c r="S31" s="209">
        <v>20000</v>
      </c>
      <c r="T31" s="205">
        <f t="shared" si="0"/>
        <v>320000</v>
      </c>
      <c r="U31" s="208"/>
    </row>
    <row r="32" spans="2:21" x14ac:dyDescent="0.3">
      <c r="B32" s="227"/>
      <c r="C32" s="227"/>
      <c r="D32" s="227"/>
      <c r="E32" s="227"/>
      <c r="F32" s="257" t="s">
        <v>1260</v>
      </c>
      <c r="G32" s="210">
        <v>100000</v>
      </c>
      <c r="H32" s="227"/>
      <c r="I32" s="260" t="s">
        <v>1311</v>
      </c>
      <c r="J32" s="210">
        <v>100000</v>
      </c>
      <c r="K32" s="227"/>
      <c r="L32" s="256" t="s">
        <v>226</v>
      </c>
      <c r="M32" s="258">
        <v>0</v>
      </c>
      <c r="N32" s="227"/>
      <c r="O32" s="260" t="s">
        <v>1207</v>
      </c>
      <c r="P32" s="260">
        <v>100000</v>
      </c>
      <c r="Q32" s="227"/>
      <c r="R32" s="210" t="s">
        <v>1069</v>
      </c>
      <c r="S32" s="259">
        <v>20000</v>
      </c>
      <c r="T32" s="210">
        <f t="shared" si="0"/>
        <v>320000</v>
      </c>
      <c r="U32" s="208"/>
    </row>
    <row r="33" spans="2:21" x14ac:dyDescent="0.3">
      <c r="B33" s="227"/>
      <c r="C33" s="227"/>
      <c r="D33" s="227"/>
      <c r="E33" s="227"/>
      <c r="F33" s="250" t="s">
        <v>1269</v>
      </c>
      <c r="G33" s="203">
        <v>100000</v>
      </c>
      <c r="H33" s="226"/>
      <c r="I33" s="251" t="s">
        <v>1313</v>
      </c>
      <c r="J33" s="203">
        <v>100000</v>
      </c>
      <c r="K33" s="226"/>
      <c r="L33" s="254" t="s">
        <v>226</v>
      </c>
      <c r="M33" s="203">
        <v>0</v>
      </c>
      <c r="N33" s="226"/>
      <c r="O33" s="251" t="s">
        <v>1242</v>
      </c>
      <c r="P33" s="251">
        <v>30000</v>
      </c>
      <c r="Q33" s="226"/>
      <c r="R33" s="203" t="s">
        <v>1069</v>
      </c>
      <c r="S33" s="203">
        <v>20000</v>
      </c>
      <c r="T33" s="203">
        <f t="shared" si="0"/>
        <v>250000</v>
      </c>
      <c r="U33" s="208"/>
    </row>
    <row r="34" spans="2:21" x14ac:dyDescent="0.3">
      <c r="B34" s="227"/>
      <c r="C34" s="227"/>
      <c r="D34" s="227"/>
      <c r="E34" s="227"/>
      <c r="F34" s="204" t="s">
        <v>109</v>
      </c>
      <c r="G34" s="205">
        <v>100000</v>
      </c>
      <c r="H34" s="227"/>
      <c r="I34" s="205" t="s">
        <v>159</v>
      </c>
      <c r="J34" s="205">
        <v>100000</v>
      </c>
      <c r="K34" s="227"/>
      <c r="L34" s="255" t="s">
        <v>226</v>
      </c>
      <c r="M34" s="214">
        <v>0</v>
      </c>
      <c r="N34" s="227"/>
      <c r="O34" s="207" t="s">
        <v>1242</v>
      </c>
      <c r="P34" s="207">
        <v>30000</v>
      </c>
      <c r="Q34" s="227"/>
      <c r="R34" s="205" t="s">
        <v>1069</v>
      </c>
      <c r="S34" s="209">
        <v>20000</v>
      </c>
      <c r="T34" s="205">
        <f t="shared" si="0"/>
        <v>250000</v>
      </c>
      <c r="U34" s="208"/>
    </row>
    <row r="35" spans="2:21" x14ac:dyDescent="0.3">
      <c r="B35" s="227"/>
      <c r="C35" s="227"/>
      <c r="D35" s="227"/>
      <c r="E35" s="227"/>
      <c r="F35" s="204" t="s">
        <v>1351</v>
      </c>
      <c r="G35" s="205">
        <v>100000</v>
      </c>
      <c r="H35" s="227"/>
      <c r="I35" s="205" t="s">
        <v>159</v>
      </c>
      <c r="J35" s="205">
        <v>100000</v>
      </c>
      <c r="K35" s="227"/>
      <c r="L35" s="255" t="s">
        <v>226</v>
      </c>
      <c r="M35" s="214">
        <v>0</v>
      </c>
      <c r="N35" s="227"/>
      <c r="O35" s="207" t="s">
        <v>1242</v>
      </c>
      <c r="P35" s="207">
        <v>30000</v>
      </c>
      <c r="Q35" s="227"/>
      <c r="R35" s="205" t="s">
        <v>1069</v>
      </c>
      <c r="S35" s="209">
        <v>20000</v>
      </c>
      <c r="T35" s="205">
        <f t="shared" si="0"/>
        <v>250000</v>
      </c>
      <c r="U35" s="208"/>
    </row>
    <row r="36" spans="2:21" x14ac:dyDescent="0.3">
      <c r="B36" s="227"/>
      <c r="C36" s="227"/>
      <c r="D36" s="227"/>
      <c r="E36" s="227"/>
      <c r="F36" s="204" t="s">
        <v>112</v>
      </c>
      <c r="G36" s="205">
        <v>100000</v>
      </c>
      <c r="H36" s="227"/>
      <c r="I36" s="205" t="s">
        <v>159</v>
      </c>
      <c r="J36" s="205">
        <v>100000</v>
      </c>
      <c r="K36" s="227"/>
      <c r="L36" s="255" t="s">
        <v>226</v>
      </c>
      <c r="M36" s="214">
        <v>0</v>
      </c>
      <c r="N36" s="227"/>
      <c r="O36" s="207" t="s">
        <v>1242</v>
      </c>
      <c r="P36" s="207">
        <v>30000</v>
      </c>
      <c r="Q36" s="227"/>
      <c r="R36" s="205" t="s">
        <v>1069</v>
      </c>
      <c r="S36" s="209">
        <v>20000</v>
      </c>
      <c r="T36" s="205">
        <f t="shared" si="0"/>
        <v>250000</v>
      </c>
      <c r="U36" s="208"/>
    </row>
    <row r="37" spans="2:21" x14ac:dyDescent="0.3">
      <c r="B37" s="227"/>
      <c r="C37" s="227"/>
      <c r="D37" s="227"/>
      <c r="E37" s="227"/>
      <c r="F37" s="204" t="s">
        <v>113</v>
      </c>
      <c r="G37" s="205">
        <v>100000</v>
      </c>
      <c r="H37" s="227"/>
      <c r="I37" s="205" t="s">
        <v>159</v>
      </c>
      <c r="J37" s="205">
        <v>100000</v>
      </c>
      <c r="K37" s="227"/>
      <c r="L37" s="255" t="s">
        <v>226</v>
      </c>
      <c r="M37" s="214">
        <v>0</v>
      </c>
      <c r="N37" s="227"/>
      <c r="O37" s="207" t="s">
        <v>1242</v>
      </c>
      <c r="P37" s="207">
        <v>30000</v>
      </c>
      <c r="Q37" s="227"/>
      <c r="R37" s="205" t="s">
        <v>1069</v>
      </c>
      <c r="S37" s="209">
        <v>20000</v>
      </c>
      <c r="T37" s="205">
        <f t="shared" si="0"/>
        <v>250000</v>
      </c>
      <c r="U37" s="208"/>
    </row>
    <row r="38" spans="2:21" ht="17.45" customHeight="1" x14ac:dyDescent="0.3">
      <c r="B38" s="227"/>
      <c r="C38" s="227"/>
      <c r="D38" s="227"/>
      <c r="E38" s="227"/>
      <c r="F38" s="204" t="s">
        <v>116</v>
      </c>
      <c r="G38" s="205">
        <v>100000</v>
      </c>
      <c r="H38" s="227"/>
      <c r="I38" s="205" t="s">
        <v>159</v>
      </c>
      <c r="J38" s="205">
        <v>100000</v>
      </c>
      <c r="K38" s="227"/>
      <c r="L38" s="255" t="s">
        <v>226</v>
      </c>
      <c r="M38" s="205">
        <v>0</v>
      </c>
      <c r="N38" s="227"/>
      <c r="O38" s="207" t="s">
        <v>1242</v>
      </c>
      <c r="P38" s="207">
        <v>30000</v>
      </c>
      <c r="Q38" s="227"/>
      <c r="R38" s="205" t="s">
        <v>1069</v>
      </c>
      <c r="S38" s="205">
        <v>20000</v>
      </c>
      <c r="T38" s="205">
        <f t="shared" si="0"/>
        <v>250000</v>
      </c>
      <c r="U38" s="208"/>
    </row>
    <row r="39" spans="2:21" x14ac:dyDescent="0.3">
      <c r="B39" s="227"/>
      <c r="C39" s="227"/>
      <c r="D39" s="227"/>
      <c r="E39" s="227"/>
      <c r="F39" s="204" t="s">
        <v>109</v>
      </c>
      <c r="G39" s="205">
        <v>100000</v>
      </c>
      <c r="H39" s="227"/>
      <c r="I39" s="205" t="s">
        <v>381</v>
      </c>
      <c r="J39" s="205">
        <v>100000</v>
      </c>
      <c r="K39" s="227"/>
      <c r="L39" s="255" t="s">
        <v>226</v>
      </c>
      <c r="M39" s="214">
        <v>0</v>
      </c>
      <c r="N39" s="227"/>
      <c r="O39" s="207" t="s">
        <v>1242</v>
      </c>
      <c r="P39" s="207">
        <v>30000</v>
      </c>
      <c r="Q39" s="227"/>
      <c r="R39" s="205" t="s">
        <v>1069</v>
      </c>
      <c r="S39" s="209">
        <v>20000</v>
      </c>
      <c r="T39" s="205">
        <f t="shared" si="0"/>
        <v>250000</v>
      </c>
      <c r="U39" s="208"/>
    </row>
    <row r="40" spans="2:21" x14ac:dyDescent="0.3">
      <c r="B40" s="227"/>
      <c r="C40" s="227"/>
      <c r="D40" s="227"/>
      <c r="E40" s="227"/>
      <c r="F40" s="204" t="s">
        <v>1351</v>
      </c>
      <c r="G40" s="205">
        <v>100000</v>
      </c>
      <c r="H40" s="227"/>
      <c r="I40" s="205" t="s">
        <v>381</v>
      </c>
      <c r="J40" s="205">
        <v>100000</v>
      </c>
      <c r="K40" s="227"/>
      <c r="L40" s="255" t="s">
        <v>226</v>
      </c>
      <c r="M40" s="214">
        <v>0</v>
      </c>
      <c r="N40" s="227"/>
      <c r="O40" s="207" t="s">
        <v>1242</v>
      </c>
      <c r="P40" s="207">
        <v>30000</v>
      </c>
      <c r="Q40" s="227"/>
      <c r="R40" s="205" t="s">
        <v>1069</v>
      </c>
      <c r="S40" s="209">
        <v>20000</v>
      </c>
      <c r="T40" s="205">
        <f t="shared" si="0"/>
        <v>250000</v>
      </c>
      <c r="U40" s="208"/>
    </row>
    <row r="41" spans="2:21" x14ac:dyDescent="0.3">
      <c r="B41" s="227"/>
      <c r="C41" s="227"/>
      <c r="D41" s="227"/>
      <c r="E41" s="227"/>
      <c r="F41" s="204" t="s">
        <v>112</v>
      </c>
      <c r="G41" s="205">
        <v>100000</v>
      </c>
      <c r="H41" s="227"/>
      <c r="I41" s="205" t="s">
        <v>381</v>
      </c>
      <c r="J41" s="205">
        <v>100000</v>
      </c>
      <c r="K41" s="227"/>
      <c r="L41" s="255" t="s">
        <v>226</v>
      </c>
      <c r="M41" s="214">
        <v>0</v>
      </c>
      <c r="N41" s="227"/>
      <c r="O41" s="207" t="s">
        <v>1242</v>
      </c>
      <c r="P41" s="207">
        <v>30000</v>
      </c>
      <c r="Q41" s="227"/>
      <c r="R41" s="205" t="s">
        <v>1069</v>
      </c>
      <c r="S41" s="209">
        <v>20000</v>
      </c>
      <c r="T41" s="205">
        <f t="shared" si="0"/>
        <v>250000</v>
      </c>
      <c r="U41" s="208"/>
    </row>
    <row r="42" spans="2:21" x14ac:dyDescent="0.3">
      <c r="B42" s="227"/>
      <c r="C42" s="227"/>
      <c r="D42" s="227"/>
      <c r="E42" s="227"/>
      <c r="F42" s="204" t="s">
        <v>113</v>
      </c>
      <c r="G42" s="205">
        <v>100000</v>
      </c>
      <c r="H42" s="227"/>
      <c r="I42" s="205" t="s">
        <v>381</v>
      </c>
      <c r="J42" s="205">
        <v>100000</v>
      </c>
      <c r="K42" s="227"/>
      <c r="L42" s="255" t="s">
        <v>226</v>
      </c>
      <c r="M42" s="214">
        <v>0</v>
      </c>
      <c r="N42" s="227"/>
      <c r="O42" s="207" t="s">
        <v>1242</v>
      </c>
      <c r="P42" s="207">
        <v>30000</v>
      </c>
      <c r="Q42" s="227"/>
      <c r="R42" s="205" t="s">
        <v>1069</v>
      </c>
      <c r="S42" s="209">
        <v>20000</v>
      </c>
      <c r="T42" s="205">
        <f t="shared" si="0"/>
        <v>250000</v>
      </c>
      <c r="U42" s="208"/>
    </row>
    <row r="43" spans="2:21" x14ac:dyDescent="0.3">
      <c r="B43" s="227"/>
      <c r="C43" s="227"/>
      <c r="D43" s="227"/>
      <c r="E43" s="227"/>
      <c r="F43" s="204" t="s">
        <v>116</v>
      </c>
      <c r="G43" s="205">
        <v>100000</v>
      </c>
      <c r="H43" s="227"/>
      <c r="I43" s="205" t="s">
        <v>381</v>
      </c>
      <c r="J43" s="205">
        <v>100000</v>
      </c>
      <c r="K43" s="227"/>
      <c r="L43" s="255" t="s">
        <v>226</v>
      </c>
      <c r="M43" s="205">
        <v>0</v>
      </c>
      <c r="N43" s="227"/>
      <c r="O43" s="207" t="s">
        <v>1242</v>
      </c>
      <c r="P43" s="207">
        <v>30000</v>
      </c>
      <c r="Q43" s="227"/>
      <c r="R43" s="205" t="s">
        <v>1069</v>
      </c>
      <c r="S43" s="205">
        <v>20000</v>
      </c>
      <c r="T43" s="205">
        <f t="shared" si="0"/>
        <v>250000</v>
      </c>
      <c r="U43" s="208"/>
    </row>
    <row r="44" spans="2:21" x14ac:dyDescent="0.3">
      <c r="B44" s="212"/>
      <c r="C44" s="213"/>
      <c r="D44" s="213"/>
      <c r="E44" s="230"/>
      <c r="F44" s="214" t="s">
        <v>155</v>
      </c>
      <c r="G44" s="214">
        <v>100000</v>
      </c>
      <c r="H44" s="230"/>
      <c r="I44" s="216" t="s">
        <v>159</v>
      </c>
      <c r="J44" s="215">
        <v>50000</v>
      </c>
      <c r="K44" s="230"/>
      <c r="L44" s="253" t="s">
        <v>226</v>
      </c>
      <c r="M44" s="214">
        <v>0</v>
      </c>
      <c r="N44" s="230"/>
      <c r="O44" s="252" t="s">
        <v>1242</v>
      </c>
      <c r="P44" s="261">
        <v>30000</v>
      </c>
      <c r="Q44" s="230"/>
      <c r="R44" s="216" t="s">
        <v>1069</v>
      </c>
      <c r="S44" s="215">
        <v>20000</v>
      </c>
      <c r="T44" s="249">
        <f t="shared" si="0"/>
        <v>200000</v>
      </c>
      <c r="U44" s="217"/>
    </row>
    <row r="45" spans="2:21" x14ac:dyDescent="0.3">
      <c r="B45" s="212"/>
      <c r="C45" s="213"/>
      <c r="D45" s="213"/>
      <c r="E45" s="230"/>
      <c r="F45" s="214" t="s">
        <v>155</v>
      </c>
      <c r="G45" s="214">
        <v>100000</v>
      </c>
      <c r="H45" s="230"/>
      <c r="I45" s="216" t="s">
        <v>381</v>
      </c>
      <c r="J45" s="215">
        <v>50000</v>
      </c>
      <c r="K45" s="230"/>
      <c r="L45" s="253" t="s">
        <v>226</v>
      </c>
      <c r="M45" s="214">
        <v>0</v>
      </c>
      <c r="N45" s="230"/>
      <c r="O45" s="252" t="s">
        <v>1242</v>
      </c>
      <c r="P45" s="261">
        <v>30000</v>
      </c>
      <c r="Q45" s="230"/>
      <c r="R45" s="216" t="s">
        <v>1069</v>
      </c>
      <c r="S45" s="215">
        <v>20000</v>
      </c>
      <c r="T45" s="249">
        <f t="shared" si="0"/>
        <v>200000</v>
      </c>
      <c r="U45" s="217"/>
    </row>
    <row r="46" spans="2:21" x14ac:dyDescent="0.3">
      <c r="B46" s="227"/>
      <c r="C46" s="227"/>
      <c r="D46" s="227"/>
      <c r="E46" s="227"/>
      <c r="F46" s="206" t="s">
        <v>1288</v>
      </c>
      <c r="G46" s="205">
        <v>100000</v>
      </c>
      <c r="H46" s="227"/>
      <c r="I46" s="205" t="s">
        <v>159</v>
      </c>
      <c r="J46" s="205">
        <v>100000</v>
      </c>
      <c r="K46" s="227"/>
      <c r="L46" s="255" t="s">
        <v>226</v>
      </c>
      <c r="M46" s="214">
        <v>0</v>
      </c>
      <c r="N46" s="227"/>
      <c r="O46" s="207" t="s">
        <v>1242</v>
      </c>
      <c r="P46" s="207">
        <v>30000</v>
      </c>
      <c r="Q46" s="227"/>
      <c r="R46" s="205" t="s">
        <v>1069</v>
      </c>
      <c r="S46" s="209">
        <v>20000</v>
      </c>
      <c r="T46" s="205">
        <f t="shared" si="0"/>
        <v>250000</v>
      </c>
      <c r="U46" s="208"/>
    </row>
    <row r="47" spans="2:21" x14ac:dyDescent="0.3">
      <c r="B47" s="227"/>
      <c r="C47" s="227"/>
      <c r="D47" s="227"/>
      <c r="E47" s="227"/>
      <c r="F47" s="206" t="s">
        <v>1288</v>
      </c>
      <c r="G47" s="205">
        <v>100000</v>
      </c>
      <c r="H47" s="227"/>
      <c r="I47" s="205" t="s">
        <v>381</v>
      </c>
      <c r="J47" s="205">
        <v>100000</v>
      </c>
      <c r="K47" s="227"/>
      <c r="L47" s="255" t="s">
        <v>226</v>
      </c>
      <c r="M47" s="214">
        <v>0</v>
      </c>
      <c r="N47" s="227"/>
      <c r="O47" s="207" t="s">
        <v>1242</v>
      </c>
      <c r="P47" s="207">
        <v>30000</v>
      </c>
      <c r="Q47" s="227"/>
      <c r="R47" s="205" t="s">
        <v>1069</v>
      </c>
      <c r="S47" s="209">
        <v>20000</v>
      </c>
      <c r="T47" s="205">
        <f t="shared" si="0"/>
        <v>250000</v>
      </c>
      <c r="U47" s="208"/>
    </row>
    <row r="48" spans="2:21" x14ac:dyDescent="0.3">
      <c r="B48" s="227"/>
      <c r="C48" s="227"/>
      <c r="D48" s="227"/>
      <c r="E48" s="227"/>
      <c r="F48" s="206" t="s">
        <v>1260</v>
      </c>
      <c r="G48" s="205">
        <v>100000</v>
      </c>
      <c r="H48" s="227"/>
      <c r="I48" s="205" t="s">
        <v>159</v>
      </c>
      <c r="J48" s="205">
        <v>100000</v>
      </c>
      <c r="K48" s="227"/>
      <c r="L48" s="255" t="s">
        <v>226</v>
      </c>
      <c r="M48" s="214">
        <v>0</v>
      </c>
      <c r="N48" s="227"/>
      <c r="O48" s="207" t="s">
        <v>1242</v>
      </c>
      <c r="P48" s="207">
        <v>30000</v>
      </c>
      <c r="Q48" s="227"/>
      <c r="R48" s="205" t="s">
        <v>1069</v>
      </c>
      <c r="S48" s="209">
        <v>20000</v>
      </c>
      <c r="T48" s="205">
        <f t="shared" si="0"/>
        <v>250000</v>
      </c>
      <c r="U48" s="208"/>
    </row>
    <row r="49" spans="2:21" x14ac:dyDescent="0.3">
      <c r="B49" s="227"/>
      <c r="C49" s="227"/>
      <c r="D49" s="227"/>
      <c r="E49" s="227"/>
      <c r="F49" s="206" t="s">
        <v>1260</v>
      </c>
      <c r="G49" s="205">
        <v>100000</v>
      </c>
      <c r="H49" s="227"/>
      <c r="I49" s="205" t="s">
        <v>381</v>
      </c>
      <c r="J49" s="205">
        <v>100000</v>
      </c>
      <c r="K49" s="227"/>
      <c r="L49" s="255" t="s">
        <v>226</v>
      </c>
      <c r="M49" s="214">
        <v>0</v>
      </c>
      <c r="N49" s="227"/>
      <c r="O49" s="207" t="s">
        <v>1242</v>
      </c>
      <c r="P49" s="207">
        <v>30000</v>
      </c>
      <c r="Q49" s="227"/>
      <c r="R49" s="205" t="s">
        <v>1069</v>
      </c>
      <c r="S49" s="209">
        <v>20000</v>
      </c>
      <c r="T49" s="205">
        <f t="shared" si="0"/>
        <v>250000</v>
      </c>
      <c r="U49" s="208"/>
    </row>
    <row r="50" spans="2:21" x14ac:dyDescent="0.3">
      <c r="B50" s="227"/>
      <c r="C50" s="227"/>
      <c r="D50" s="227"/>
      <c r="E50" s="227"/>
      <c r="F50" s="204" t="s">
        <v>109</v>
      </c>
      <c r="G50" s="205">
        <v>100000</v>
      </c>
      <c r="H50" s="227"/>
      <c r="I50" s="207" t="s">
        <v>1311</v>
      </c>
      <c r="J50" s="205">
        <v>100000</v>
      </c>
      <c r="K50" s="227"/>
      <c r="L50" s="255" t="s">
        <v>226</v>
      </c>
      <c r="M50" s="214">
        <v>0</v>
      </c>
      <c r="N50" s="227"/>
      <c r="O50" s="207" t="s">
        <v>1242</v>
      </c>
      <c r="P50" s="207">
        <v>30000</v>
      </c>
      <c r="Q50" s="227"/>
      <c r="R50" s="205" t="s">
        <v>1069</v>
      </c>
      <c r="S50" s="209">
        <v>20000</v>
      </c>
      <c r="T50" s="205">
        <f t="shared" si="0"/>
        <v>250000</v>
      </c>
      <c r="U50" s="208"/>
    </row>
    <row r="51" spans="2:21" x14ac:dyDescent="0.3">
      <c r="B51" s="227"/>
      <c r="C51" s="227"/>
      <c r="D51" s="227"/>
      <c r="E51" s="227"/>
      <c r="F51" s="204" t="s">
        <v>1351</v>
      </c>
      <c r="G51" s="205">
        <v>100000</v>
      </c>
      <c r="H51" s="227"/>
      <c r="I51" s="207" t="s">
        <v>1311</v>
      </c>
      <c r="J51" s="205">
        <v>100000</v>
      </c>
      <c r="K51" s="227"/>
      <c r="L51" s="255" t="s">
        <v>226</v>
      </c>
      <c r="M51" s="214">
        <v>0</v>
      </c>
      <c r="N51" s="227"/>
      <c r="O51" s="207" t="s">
        <v>1242</v>
      </c>
      <c r="P51" s="207">
        <v>30000</v>
      </c>
      <c r="Q51" s="227"/>
      <c r="R51" s="205" t="s">
        <v>1069</v>
      </c>
      <c r="S51" s="209">
        <v>20000</v>
      </c>
      <c r="T51" s="205">
        <f t="shared" si="0"/>
        <v>250000</v>
      </c>
      <c r="U51" s="208"/>
    </row>
    <row r="52" spans="2:21" x14ac:dyDescent="0.3">
      <c r="B52" s="227"/>
      <c r="C52" s="227"/>
      <c r="D52" s="227"/>
      <c r="E52" s="227"/>
      <c r="F52" s="204" t="s">
        <v>112</v>
      </c>
      <c r="G52" s="205">
        <v>100000</v>
      </c>
      <c r="H52" s="227"/>
      <c r="I52" s="207" t="s">
        <v>1311</v>
      </c>
      <c r="J52" s="205">
        <v>100000</v>
      </c>
      <c r="K52" s="227"/>
      <c r="L52" s="255" t="s">
        <v>226</v>
      </c>
      <c r="M52" s="214">
        <v>0</v>
      </c>
      <c r="N52" s="227"/>
      <c r="O52" s="207" t="s">
        <v>1242</v>
      </c>
      <c r="P52" s="207">
        <v>30000</v>
      </c>
      <c r="Q52" s="227"/>
      <c r="R52" s="205" t="s">
        <v>1069</v>
      </c>
      <c r="S52" s="209">
        <v>20000</v>
      </c>
      <c r="T52" s="205">
        <f t="shared" si="0"/>
        <v>250000</v>
      </c>
      <c r="U52" s="208"/>
    </row>
    <row r="53" spans="2:21" x14ac:dyDescent="0.3">
      <c r="B53" s="227"/>
      <c r="C53" s="227"/>
      <c r="D53" s="227"/>
      <c r="E53" s="227"/>
      <c r="F53" s="204" t="s">
        <v>113</v>
      </c>
      <c r="G53" s="205">
        <v>100000</v>
      </c>
      <c r="H53" s="227"/>
      <c r="I53" s="207" t="s">
        <v>1311</v>
      </c>
      <c r="J53" s="205">
        <v>100000</v>
      </c>
      <c r="K53" s="227"/>
      <c r="L53" s="255" t="s">
        <v>226</v>
      </c>
      <c r="M53" s="214">
        <v>0</v>
      </c>
      <c r="N53" s="227"/>
      <c r="O53" s="207" t="s">
        <v>1242</v>
      </c>
      <c r="P53" s="207">
        <v>30000</v>
      </c>
      <c r="Q53" s="227"/>
      <c r="R53" s="205" t="s">
        <v>1069</v>
      </c>
      <c r="S53" s="209">
        <v>20000</v>
      </c>
      <c r="T53" s="205">
        <f t="shared" si="0"/>
        <v>250000</v>
      </c>
      <c r="U53" s="208"/>
    </row>
    <row r="54" spans="2:21" ht="17.45" customHeight="1" x14ac:dyDescent="0.3">
      <c r="B54" s="227"/>
      <c r="C54" s="227"/>
      <c r="D54" s="227"/>
      <c r="E54" s="227"/>
      <c r="F54" s="204" t="s">
        <v>116</v>
      </c>
      <c r="G54" s="205">
        <v>100000</v>
      </c>
      <c r="H54" s="227"/>
      <c r="I54" s="207" t="s">
        <v>1311</v>
      </c>
      <c r="J54" s="205">
        <v>100000</v>
      </c>
      <c r="K54" s="227"/>
      <c r="L54" s="255" t="s">
        <v>226</v>
      </c>
      <c r="M54" s="205">
        <v>0</v>
      </c>
      <c r="N54" s="227"/>
      <c r="O54" s="207" t="s">
        <v>1242</v>
      </c>
      <c r="P54" s="207">
        <v>30000</v>
      </c>
      <c r="Q54" s="227"/>
      <c r="R54" s="205" t="s">
        <v>1069</v>
      </c>
      <c r="S54" s="205">
        <v>20000</v>
      </c>
      <c r="T54" s="205">
        <f t="shared" si="0"/>
        <v>250000</v>
      </c>
      <c r="U54" s="208"/>
    </row>
    <row r="55" spans="2:21" x14ac:dyDescent="0.3">
      <c r="B55" s="212"/>
      <c r="C55" s="213"/>
      <c r="D55" s="213"/>
      <c r="E55" s="230"/>
      <c r="F55" s="214" t="s">
        <v>155</v>
      </c>
      <c r="G55" s="214">
        <v>100000</v>
      </c>
      <c r="H55" s="230"/>
      <c r="I55" s="252" t="s">
        <v>1311</v>
      </c>
      <c r="J55" s="215">
        <v>50000</v>
      </c>
      <c r="K55" s="230"/>
      <c r="L55" s="253" t="s">
        <v>226</v>
      </c>
      <c r="M55" s="214">
        <v>0</v>
      </c>
      <c r="N55" s="230"/>
      <c r="O55" s="252" t="s">
        <v>1242</v>
      </c>
      <c r="P55" s="261">
        <v>30000</v>
      </c>
      <c r="Q55" s="230"/>
      <c r="R55" s="216" t="s">
        <v>1069</v>
      </c>
      <c r="S55" s="215">
        <v>20000</v>
      </c>
      <c r="T55" s="249">
        <f t="shared" si="0"/>
        <v>200000</v>
      </c>
      <c r="U55" s="217"/>
    </row>
    <row r="56" spans="2:21" x14ac:dyDescent="0.3">
      <c r="B56" s="227"/>
      <c r="C56" s="227"/>
      <c r="D56" s="227"/>
      <c r="E56" s="227"/>
      <c r="F56" s="206" t="s">
        <v>1288</v>
      </c>
      <c r="G56" s="205">
        <v>100000</v>
      </c>
      <c r="H56" s="227"/>
      <c r="I56" s="207" t="s">
        <v>1311</v>
      </c>
      <c r="J56" s="205">
        <v>100000</v>
      </c>
      <c r="K56" s="227"/>
      <c r="L56" s="255" t="s">
        <v>226</v>
      </c>
      <c r="M56" s="214">
        <v>0</v>
      </c>
      <c r="N56" s="227"/>
      <c r="O56" s="207" t="s">
        <v>1242</v>
      </c>
      <c r="P56" s="207">
        <v>30000</v>
      </c>
      <c r="Q56" s="227"/>
      <c r="R56" s="205" t="s">
        <v>1069</v>
      </c>
      <c r="S56" s="209">
        <v>20000</v>
      </c>
      <c r="T56" s="205">
        <f t="shared" si="0"/>
        <v>250000</v>
      </c>
      <c r="U56" s="208"/>
    </row>
    <row r="57" spans="2:21" x14ac:dyDescent="0.3">
      <c r="B57" s="227"/>
      <c r="C57" s="227"/>
      <c r="D57" s="227"/>
      <c r="E57" s="227"/>
      <c r="F57" s="206" t="s">
        <v>1260</v>
      </c>
      <c r="G57" s="205">
        <v>100000</v>
      </c>
      <c r="H57" s="227"/>
      <c r="I57" s="207" t="s">
        <v>1311</v>
      </c>
      <c r="J57" s="205">
        <v>100000</v>
      </c>
      <c r="K57" s="227"/>
      <c r="L57" s="255" t="s">
        <v>226</v>
      </c>
      <c r="M57" s="214">
        <v>0</v>
      </c>
      <c r="N57" s="227"/>
      <c r="O57" s="207" t="s">
        <v>1242</v>
      </c>
      <c r="P57" s="207">
        <v>30000</v>
      </c>
      <c r="Q57" s="227"/>
      <c r="R57" s="205" t="s">
        <v>1069</v>
      </c>
      <c r="S57" s="209">
        <v>20000</v>
      </c>
      <c r="T57" s="205">
        <f t="shared" si="0"/>
        <v>250000</v>
      </c>
      <c r="U57" s="208"/>
    </row>
    <row r="58" spans="2:21" x14ac:dyDescent="0.3">
      <c r="B58" s="227"/>
      <c r="C58" s="227"/>
      <c r="D58" s="227"/>
      <c r="E58" s="227"/>
      <c r="F58" s="206" t="s">
        <v>1269</v>
      </c>
      <c r="G58" s="205">
        <v>100000</v>
      </c>
      <c r="H58" s="227"/>
      <c r="I58" s="207" t="s">
        <v>1313</v>
      </c>
      <c r="J58" s="205">
        <v>100000</v>
      </c>
      <c r="K58" s="227"/>
      <c r="L58" s="255" t="s">
        <v>226</v>
      </c>
      <c r="M58" s="205">
        <v>0</v>
      </c>
      <c r="N58" s="227"/>
      <c r="O58" s="207" t="s">
        <v>1243</v>
      </c>
      <c r="P58" s="207">
        <v>30000</v>
      </c>
      <c r="Q58" s="227"/>
      <c r="R58" s="205" t="s">
        <v>1069</v>
      </c>
      <c r="S58" s="205">
        <v>20000</v>
      </c>
      <c r="T58" s="205">
        <f t="shared" si="0"/>
        <v>250000</v>
      </c>
      <c r="U58" s="208"/>
    </row>
    <row r="59" spans="2:21" x14ac:dyDescent="0.3">
      <c r="B59" s="227"/>
      <c r="C59" s="227"/>
      <c r="D59" s="227"/>
      <c r="E59" s="227"/>
      <c r="F59" s="204" t="s">
        <v>109</v>
      </c>
      <c r="G59" s="205">
        <v>100000</v>
      </c>
      <c r="H59" s="227"/>
      <c r="I59" s="205" t="s">
        <v>159</v>
      </c>
      <c r="J59" s="205">
        <v>100000</v>
      </c>
      <c r="K59" s="227"/>
      <c r="L59" s="255" t="s">
        <v>226</v>
      </c>
      <c r="M59" s="214">
        <v>0</v>
      </c>
      <c r="N59" s="227"/>
      <c r="O59" s="207" t="s">
        <v>1243</v>
      </c>
      <c r="P59" s="207">
        <v>30000</v>
      </c>
      <c r="Q59" s="227"/>
      <c r="R59" s="205" t="s">
        <v>1069</v>
      </c>
      <c r="S59" s="209">
        <v>20000</v>
      </c>
      <c r="T59" s="205">
        <f t="shared" si="0"/>
        <v>250000</v>
      </c>
      <c r="U59" s="208"/>
    </row>
    <row r="60" spans="2:21" x14ac:dyDescent="0.3">
      <c r="B60" s="227"/>
      <c r="C60" s="227"/>
      <c r="D60" s="227"/>
      <c r="E60" s="227"/>
      <c r="F60" s="204" t="s">
        <v>1351</v>
      </c>
      <c r="G60" s="205">
        <v>100000</v>
      </c>
      <c r="H60" s="227"/>
      <c r="I60" s="205" t="s">
        <v>159</v>
      </c>
      <c r="J60" s="205">
        <v>100000</v>
      </c>
      <c r="K60" s="227"/>
      <c r="L60" s="255" t="s">
        <v>226</v>
      </c>
      <c r="M60" s="214">
        <v>0</v>
      </c>
      <c r="N60" s="227"/>
      <c r="O60" s="207" t="s">
        <v>1243</v>
      </c>
      <c r="P60" s="207">
        <v>30000</v>
      </c>
      <c r="Q60" s="227"/>
      <c r="R60" s="205" t="s">
        <v>1069</v>
      </c>
      <c r="S60" s="209">
        <v>20000</v>
      </c>
      <c r="T60" s="205">
        <f t="shared" si="0"/>
        <v>250000</v>
      </c>
      <c r="U60" s="208"/>
    </row>
    <row r="61" spans="2:21" x14ac:dyDescent="0.3">
      <c r="B61" s="227"/>
      <c r="C61" s="227"/>
      <c r="D61" s="227"/>
      <c r="E61" s="227"/>
      <c r="F61" s="204" t="s">
        <v>112</v>
      </c>
      <c r="G61" s="205">
        <v>100000</v>
      </c>
      <c r="H61" s="227"/>
      <c r="I61" s="205" t="s">
        <v>159</v>
      </c>
      <c r="J61" s="205">
        <v>100000</v>
      </c>
      <c r="K61" s="227"/>
      <c r="L61" s="255" t="s">
        <v>226</v>
      </c>
      <c r="M61" s="214">
        <v>0</v>
      </c>
      <c r="N61" s="227"/>
      <c r="O61" s="207" t="s">
        <v>1243</v>
      </c>
      <c r="P61" s="207">
        <v>30000</v>
      </c>
      <c r="Q61" s="227"/>
      <c r="R61" s="205" t="s">
        <v>1069</v>
      </c>
      <c r="S61" s="209">
        <v>20000</v>
      </c>
      <c r="T61" s="205">
        <f t="shared" si="0"/>
        <v>250000</v>
      </c>
      <c r="U61" s="208"/>
    </row>
    <row r="62" spans="2:21" x14ac:dyDescent="0.3">
      <c r="B62" s="227"/>
      <c r="C62" s="227"/>
      <c r="D62" s="227"/>
      <c r="E62" s="227"/>
      <c r="F62" s="204" t="s">
        <v>113</v>
      </c>
      <c r="G62" s="205">
        <v>100000</v>
      </c>
      <c r="H62" s="227"/>
      <c r="I62" s="205" t="s">
        <v>159</v>
      </c>
      <c r="J62" s="205">
        <v>100000</v>
      </c>
      <c r="K62" s="227"/>
      <c r="L62" s="255" t="s">
        <v>226</v>
      </c>
      <c r="M62" s="214">
        <v>0</v>
      </c>
      <c r="N62" s="227"/>
      <c r="O62" s="207" t="s">
        <v>1243</v>
      </c>
      <c r="P62" s="207">
        <v>30000</v>
      </c>
      <c r="Q62" s="227"/>
      <c r="R62" s="205" t="s">
        <v>1069</v>
      </c>
      <c r="S62" s="209">
        <v>20000</v>
      </c>
      <c r="T62" s="205">
        <f t="shared" si="0"/>
        <v>250000</v>
      </c>
      <c r="U62" s="208"/>
    </row>
    <row r="63" spans="2:21" ht="17.45" customHeight="1" x14ac:dyDescent="0.3">
      <c r="B63" s="227"/>
      <c r="C63" s="227"/>
      <c r="D63" s="227"/>
      <c r="E63" s="227"/>
      <c r="F63" s="204" t="s">
        <v>116</v>
      </c>
      <c r="G63" s="205">
        <v>100000</v>
      </c>
      <c r="H63" s="227"/>
      <c r="I63" s="205" t="s">
        <v>159</v>
      </c>
      <c r="J63" s="205">
        <v>100000</v>
      </c>
      <c r="K63" s="227"/>
      <c r="L63" s="255" t="s">
        <v>226</v>
      </c>
      <c r="M63" s="205">
        <v>0</v>
      </c>
      <c r="N63" s="227"/>
      <c r="O63" s="207" t="s">
        <v>1243</v>
      </c>
      <c r="P63" s="207">
        <v>30000</v>
      </c>
      <c r="Q63" s="227"/>
      <c r="R63" s="205" t="s">
        <v>1069</v>
      </c>
      <c r="S63" s="205">
        <v>20000</v>
      </c>
      <c r="T63" s="205">
        <f t="shared" si="0"/>
        <v>250000</v>
      </c>
      <c r="U63" s="208"/>
    </row>
    <row r="64" spans="2:21" x14ac:dyDescent="0.3">
      <c r="B64" s="227"/>
      <c r="C64" s="227"/>
      <c r="D64" s="227"/>
      <c r="E64" s="227"/>
      <c r="F64" s="204" t="s">
        <v>109</v>
      </c>
      <c r="G64" s="205">
        <v>100000</v>
      </c>
      <c r="H64" s="227"/>
      <c r="I64" s="205" t="s">
        <v>381</v>
      </c>
      <c r="J64" s="205">
        <v>100000</v>
      </c>
      <c r="K64" s="227"/>
      <c r="L64" s="255" t="s">
        <v>226</v>
      </c>
      <c r="M64" s="214">
        <v>0</v>
      </c>
      <c r="N64" s="227"/>
      <c r="O64" s="207" t="s">
        <v>1243</v>
      </c>
      <c r="P64" s="207">
        <v>30000</v>
      </c>
      <c r="Q64" s="227"/>
      <c r="R64" s="205" t="s">
        <v>1069</v>
      </c>
      <c r="S64" s="209">
        <v>20000</v>
      </c>
      <c r="T64" s="205">
        <f t="shared" si="0"/>
        <v>250000</v>
      </c>
      <c r="U64" s="208"/>
    </row>
    <row r="65" spans="2:21" x14ac:dyDescent="0.3">
      <c r="B65" s="227"/>
      <c r="C65" s="227"/>
      <c r="D65" s="227"/>
      <c r="E65" s="227"/>
      <c r="F65" s="204" t="s">
        <v>1351</v>
      </c>
      <c r="G65" s="205">
        <v>100000</v>
      </c>
      <c r="H65" s="227"/>
      <c r="I65" s="205" t="s">
        <v>381</v>
      </c>
      <c r="J65" s="205">
        <v>100000</v>
      </c>
      <c r="K65" s="227"/>
      <c r="L65" s="255" t="s">
        <v>226</v>
      </c>
      <c r="M65" s="214">
        <v>0</v>
      </c>
      <c r="N65" s="227"/>
      <c r="O65" s="207" t="s">
        <v>1243</v>
      </c>
      <c r="P65" s="207">
        <v>30000</v>
      </c>
      <c r="Q65" s="227"/>
      <c r="R65" s="205" t="s">
        <v>1069</v>
      </c>
      <c r="S65" s="209">
        <v>20000</v>
      </c>
      <c r="T65" s="205">
        <f t="shared" si="0"/>
        <v>250000</v>
      </c>
      <c r="U65" s="208"/>
    </row>
    <row r="66" spans="2:21" x14ac:dyDescent="0.3">
      <c r="B66" s="227"/>
      <c r="C66" s="227"/>
      <c r="D66" s="227"/>
      <c r="E66" s="227"/>
      <c r="F66" s="204" t="s">
        <v>112</v>
      </c>
      <c r="G66" s="205">
        <v>100000</v>
      </c>
      <c r="H66" s="227"/>
      <c r="I66" s="205" t="s">
        <v>381</v>
      </c>
      <c r="J66" s="205">
        <v>100000</v>
      </c>
      <c r="K66" s="227"/>
      <c r="L66" s="255" t="s">
        <v>226</v>
      </c>
      <c r="M66" s="214">
        <v>0</v>
      </c>
      <c r="N66" s="227"/>
      <c r="O66" s="207" t="s">
        <v>1243</v>
      </c>
      <c r="P66" s="207">
        <v>30000</v>
      </c>
      <c r="Q66" s="227"/>
      <c r="R66" s="205" t="s">
        <v>1069</v>
      </c>
      <c r="S66" s="209">
        <v>20000</v>
      </c>
      <c r="T66" s="205">
        <f t="shared" si="0"/>
        <v>250000</v>
      </c>
      <c r="U66" s="208"/>
    </row>
    <row r="67" spans="2:21" x14ac:dyDescent="0.3">
      <c r="B67" s="227"/>
      <c r="C67" s="227"/>
      <c r="D67" s="227"/>
      <c r="E67" s="227"/>
      <c r="F67" s="204" t="s">
        <v>113</v>
      </c>
      <c r="G67" s="205">
        <v>100000</v>
      </c>
      <c r="H67" s="227"/>
      <c r="I67" s="205" t="s">
        <v>381</v>
      </c>
      <c r="J67" s="205">
        <v>100000</v>
      </c>
      <c r="K67" s="227"/>
      <c r="L67" s="255" t="s">
        <v>226</v>
      </c>
      <c r="M67" s="214">
        <v>0</v>
      </c>
      <c r="N67" s="227"/>
      <c r="O67" s="207" t="s">
        <v>1243</v>
      </c>
      <c r="P67" s="207">
        <v>30000</v>
      </c>
      <c r="Q67" s="227"/>
      <c r="R67" s="205" t="s">
        <v>1069</v>
      </c>
      <c r="S67" s="209">
        <v>20000</v>
      </c>
      <c r="T67" s="205">
        <f t="shared" si="0"/>
        <v>250000</v>
      </c>
      <c r="U67" s="208"/>
    </row>
    <row r="68" spans="2:21" x14ac:dyDescent="0.3">
      <c r="B68" s="227"/>
      <c r="C68" s="227"/>
      <c r="D68" s="227"/>
      <c r="E68" s="227"/>
      <c r="F68" s="204" t="s">
        <v>116</v>
      </c>
      <c r="G68" s="205">
        <v>100000</v>
      </c>
      <c r="H68" s="227"/>
      <c r="I68" s="205" t="s">
        <v>381</v>
      </c>
      <c r="J68" s="205">
        <v>100000</v>
      </c>
      <c r="K68" s="227"/>
      <c r="L68" s="255" t="s">
        <v>226</v>
      </c>
      <c r="M68" s="205">
        <v>0</v>
      </c>
      <c r="N68" s="227"/>
      <c r="O68" s="207" t="s">
        <v>1243</v>
      </c>
      <c r="P68" s="207">
        <v>30000</v>
      </c>
      <c r="Q68" s="227"/>
      <c r="R68" s="205" t="s">
        <v>1069</v>
      </c>
      <c r="S68" s="205">
        <v>20000</v>
      </c>
      <c r="T68" s="205">
        <f t="shared" si="0"/>
        <v>250000</v>
      </c>
      <c r="U68" s="208"/>
    </row>
    <row r="69" spans="2:21" x14ac:dyDescent="0.3">
      <c r="B69" s="212"/>
      <c r="C69" s="213"/>
      <c r="D69" s="213"/>
      <c r="E69" s="230"/>
      <c r="F69" s="214" t="s">
        <v>155</v>
      </c>
      <c r="G69" s="214">
        <v>100000</v>
      </c>
      <c r="H69" s="230"/>
      <c r="I69" s="216" t="s">
        <v>159</v>
      </c>
      <c r="J69" s="215">
        <v>50000</v>
      </c>
      <c r="K69" s="230"/>
      <c r="L69" s="253" t="s">
        <v>226</v>
      </c>
      <c r="M69" s="214">
        <v>0</v>
      </c>
      <c r="N69" s="230"/>
      <c r="O69" s="252" t="s">
        <v>1243</v>
      </c>
      <c r="P69" s="261">
        <v>30000</v>
      </c>
      <c r="Q69" s="230"/>
      <c r="R69" s="216" t="s">
        <v>1069</v>
      </c>
      <c r="S69" s="215">
        <v>20000</v>
      </c>
      <c r="T69" s="249">
        <f t="shared" si="0"/>
        <v>200000</v>
      </c>
      <c r="U69" s="217"/>
    </row>
    <row r="70" spans="2:21" x14ac:dyDescent="0.3">
      <c r="B70" s="212"/>
      <c r="C70" s="213"/>
      <c r="D70" s="213"/>
      <c r="E70" s="230"/>
      <c r="F70" s="214" t="s">
        <v>155</v>
      </c>
      <c r="G70" s="214">
        <v>100000</v>
      </c>
      <c r="H70" s="230"/>
      <c r="I70" s="216" t="s">
        <v>381</v>
      </c>
      <c r="J70" s="215">
        <v>50000</v>
      </c>
      <c r="K70" s="230"/>
      <c r="L70" s="253" t="s">
        <v>226</v>
      </c>
      <c r="M70" s="214">
        <v>0</v>
      </c>
      <c r="N70" s="230"/>
      <c r="O70" s="252" t="s">
        <v>1243</v>
      </c>
      <c r="P70" s="261">
        <v>30000</v>
      </c>
      <c r="Q70" s="230"/>
      <c r="R70" s="216" t="s">
        <v>1069</v>
      </c>
      <c r="S70" s="215">
        <v>20000</v>
      </c>
      <c r="T70" s="249">
        <f t="shared" si="0"/>
        <v>200000</v>
      </c>
      <c r="U70" s="217"/>
    </row>
    <row r="71" spans="2:21" x14ac:dyDescent="0.3">
      <c r="B71" s="227"/>
      <c r="C71" s="227"/>
      <c r="D71" s="227"/>
      <c r="E71" s="227"/>
      <c r="F71" s="206" t="s">
        <v>1288</v>
      </c>
      <c r="G71" s="205">
        <v>100000</v>
      </c>
      <c r="H71" s="227"/>
      <c r="I71" s="205" t="s">
        <v>159</v>
      </c>
      <c r="J71" s="205">
        <v>100000</v>
      </c>
      <c r="K71" s="227"/>
      <c r="L71" s="255" t="s">
        <v>226</v>
      </c>
      <c r="M71" s="214">
        <v>0</v>
      </c>
      <c r="N71" s="227"/>
      <c r="O71" s="207" t="s">
        <v>1243</v>
      </c>
      <c r="P71" s="207">
        <v>30000</v>
      </c>
      <c r="Q71" s="227"/>
      <c r="R71" s="205" t="s">
        <v>1069</v>
      </c>
      <c r="S71" s="209">
        <v>20000</v>
      </c>
      <c r="T71" s="205">
        <f t="shared" si="0"/>
        <v>250000</v>
      </c>
      <c r="U71" s="208"/>
    </row>
    <row r="72" spans="2:21" x14ac:dyDescent="0.3">
      <c r="B72" s="227"/>
      <c r="C72" s="227"/>
      <c r="D72" s="227"/>
      <c r="E72" s="227"/>
      <c r="F72" s="206" t="s">
        <v>1288</v>
      </c>
      <c r="G72" s="205">
        <v>100000</v>
      </c>
      <c r="H72" s="227"/>
      <c r="I72" s="205" t="s">
        <v>381</v>
      </c>
      <c r="J72" s="205">
        <v>100000</v>
      </c>
      <c r="K72" s="227"/>
      <c r="L72" s="255" t="s">
        <v>226</v>
      </c>
      <c r="M72" s="214">
        <v>0</v>
      </c>
      <c r="N72" s="227"/>
      <c r="O72" s="207" t="s">
        <v>1243</v>
      </c>
      <c r="P72" s="207">
        <v>30000</v>
      </c>
      <c r="Q72" s="227"/>
      <c r="R72" s="205" t="s">
        <v>1069</v>
      </c>
      <c r="S72" s="209">
        <v>20000</v>
      </c>
      <c r="T72" s="205">
        <f t="shared" ref="T72:T135" si="1">SUM(J72,G72,M72,P72,S72)</f>
        <v>250000</v>
      </c>
      <c r="U72" s="208"/>
    </row>
    <row r="73" spans="2:21" x14ac:dyDescent="0.3">
      <c r="B73" s="227"/>
      <c r="C73" s="227"/>
      <c r="D73" s="227"/>
      <c r="E73" s="227"/>
      <c r="F73" s="206" t="s">
        <v>1260</v>
      </c>
      <c r="G73" s="205">
        <v>100000</v>
      </c>
      <c r="H73" s="227"/>
      <c r="I73" s="205" t="s">
        <v>159</v>
      </c>
      <c r="J73" s="205">
        <v>100000</v>
      </c>
      <c r="K73" s="227"/>
      <c r="L73" s="255" t="s">
        <v>226</v>
      </c>
      <c r="M73" s="214">
        <v>0</v>
      </c>
      <c r="N73" s="227"/>
      <c r="O73" s="207" t="s">
        <v>1243</v>
      </c>
      <c r="P73" s="207">
        <v>30000</v>
      </c>
      <c r="Q73" s="227"/>
      <c r="R73" s="205" t="s">
        <v>1069</v>
      </c>
      <c r="S73" s="209">
        <v>20000</v>
      </c>
      <c r="T73" s="205">
        <f t="shared" si="1"/>
        <v>250000</v>
      </c>
      <c r="U73" s="208"/>
    </row>
    <row r="74" spans="2:21" x14ac:dyDescent="0.3">
      <c r="B74" s="227"/>
      <c r="C74" s="227"/>
      <c r="D74" s="227"/>
      <c r="E74" s="227"/>
      <c r="F74" s="206" t="s">
        <v>1260</v>
      </c>
      <c r="G74" s="205">
        <v>100000</v>
      </c>
      <c r="H74" s="227"/>
      <c r="I74" s="205" t="s">
        <v>381</v>
      </c>
      <c r="J74" s="205">
        <v>100000</v>
      </c>
      <c r="K74" s="227"/>
      <c r="L74" s="255" t="s">
        <v>226</v>
      </c>
      <c r="M74" s="214">
        <v>0</v>
      </c>
      <c r="N74" s="227"/>
      <c r="O74" s="207" t="s">
        <v>1243</v>
      </c>
      <c r="P74" s="207">
        <v>30000</v>
      </c>
      <c r="Q74" s="227"/>
      <c r="R74" s="205" t="s">
        <v>1069</v>
      </c>
      <c r="S74" s="209">
        <v>20000</v>
      </c>
      <c r="T74" s="205">
        <f t="shared" si="1"/>
        <v>250000</v>
      </c>
      <c r="U74" s="208"/>
    </row>
    <row r="75" spans="2:21" x14ac:dyDescent="0.3">
      <c r="B75" s="227"/>
      <c r="C75" s="227"/>
      <c r="D75" s="227"/>
      <c r="E75" s="227"/>
      <c r="F75" s="204" t="s">
        <v>109</v>
      </c>
      <c r="G75" s="205">
        <v>100000</v>
      </c>
      <c r="H75" s="227"/>
      <c r="I75" s="207" t="s">
        <v>1311</v>
      </c>
      <c r="J75" s="205">
        <v>100000</v>
      </c>
      <c r="K75" s="227"/>
      <c r="L75" s="255" t="s">
        <v>226</v>
      </c>
      <c r="M75" s="214">
        <v>0</v>
      </c>
      <c r="N75" s="227"/>
      <c r="O75" s="207" t="s">
        <v>1243</v>
      </c>
      <c r="P75" s="207">
        <v>30000</v>
      </c>
      <c r="Q75" s="227"/>
      <c r="R75" s="205" t="s">
        <v>1069</v>
      </c>
      <c r="S75" s="209">
        <v>20000</v>
      </c>
      <c r="T75" s="205">
        <f t="shared" si="1"/>
        <v>250000</v>
      </c>
      <c r="U75" s="208"/>
    </row>
    <row r="76" spans="2:21" x14ac:dyDescent="0.3">
      <c r="B76" s="227"/>
      <c r="C76" s="227"/>
      <c r="D76" s="227"/>
      <c r="E76" s="227"/>
      <c r="F76" s="204" t="s">
        <v>1351</v>
      </c>
      <c r="G76" s="205">
        <v>100000</v>
      </c>
      <c r="H76" s="227"/>
      <c r="I76" s="207" t="s">
        <v>1311</v>
      </c>
      <c r="J76" s="205">
        <v>100000</v>
      </c>
      <c r="K76" s="227"/>
      <c r="L76" s="255" t="s">
        <v>226</v>
      </c>
      <c r="M76" s="214">
        <v>0</v>
      </c>
      <c r="N76" s="227"/>
      <c r="O76" s="207" t="s">
        <v>1243</v>
      </c>
      <c r="P76" s="207">
        <v>30000</v>
      </c>
      <c r="Q76" s="227"/>
      <c r="R76" s="205" t="s">
        <v>1069</v>
      </c>
      <c r="S76" s="209">
        <v>20000</v>
      </c>
      <c r="T76" s="205">
        <f t="shared" si="1"/>
        <v>250000</v>
      </c>
      <c r="U76" s="208"/>
    </row>
    <row r="77" spans="2:21" x14ac:dyDescent="0.3">
      <c r="B77" s="227"/>
      <c r="C77" s="227"/>
      <c r="D77" s="227"/>
      <c r="E77" s="227"/>
      <c r="F77" s="204" t="s">
        <v>112</v>
      </c>
      <c r="G77" s="205">
        <v>100000</v>
      </c>
      <c r="H77" s="227"/>
      <c r="I77" s="207" t="s">
        <v>1311</v>
      </c>
      <c r="J77" s="205">
        <v>100000</v>
      </c>
      <c r="K77" s="227"/>
      <c r="L77" s="255" t="s">
        <v>226</v>
      </c>
      <c r="M77" s="214">
        <v>0</v>
      </c>
      <c r="N77" s="227"/>
      <c r="O77" s="207" t="s">
        <v>1243</v>
      </c>
      <c r="P77" s="207">
        <v>30000</v>
      </c>
      <c r="Q77" s="227"/>
      <c r="R77" s="205" t="s">
        <v>1069</v>
      </c>
      <c r="S77" s="209">
        <v>20000</v>
      </c>
      <c r="T77" s="205">
        <f t="shared" si="1"/>
        <v>250000</v>
      </c>
      <c r="U77" s="208"/>
    </row>
    <row r="78" spans="2:21" x14ac:dyDescent="0.3">
      <c r="B78" s="227"/>
      <c r="C78" s="227"/>
      <c r="D78" s="227"/>
      <c r="E78" s="227"/>
      <c r="F78" s="204" t="s">
        <v>113</v>
      </c>
      <c r="G78" s="205">
        <v>100000</v>
      </c>
      <c r="H78" s="227"/>
      <c r="I78" s="207" t="s">
        <v>1311</v>
      </c>
      <c r="J78" s="205">
        <v>100000</v>
      </c>
      <c r="K78" s="227"/>
      <c r="L78" s="255" t="s">
        <v>226</v>
      </c>
      <c r="M78" s="214">
        <v>0</v>
      </c>
      <c r="N78" s="227"/>
      <c r="O78" s="207" t="s">
        <v>1243</v>
      </c>
      <c r="P78" s="207">
        <v>30000</v>
      </c>
      <c r="Q78" s="227"/>
      <c r="R78" s="205" t="s">
        <v>1069</v>
      </c>
      <c r="S78" s="209">
        <v>20000</v>
      </c>
      <c r="T78" s="205">
        <f t="shared" si="1"/>
        <v>250000</v>
      </c>
      <c r="U78" s="208"/>
    </row>
    <row r="79" spans="2:21" ht="17.45" customHeight="1" x14ac:dyDescent="0.3">
      <c r="B79" s="227"/>
      <c r="C79" s="227"/>
      <c r="D79" s="227"/>
      <c r="E79" s="227"/>
      <c r="F79" s="204" t="s">
        <v>116</v>
      </c>
      <c r="G79" s="205">
        <v>100000</v>
      </c>
      <c r="H79" s="227"/>
      <c r="I79" s="207" t="s">
        <v>1311</v>
      </c>
      <c r="J79" s="205">
        <v>100000</v>
      </c>
      <c r="K79" s="227"/>
      <c r="L79" s="255" t="s">
        <v>226</v>
      </c>
      <c r="M79" s="205">
        <v>0</v>
      </c>
      <c r="N79" s="227"/>
      <c r="O79" s="207" t="s">
        <v>1243</v>
      </c>
      <c r="P79" s="207">
        <v>30000</v>
      </c>
      <c r="Q79" s="227"/>
      <c r="R79" s="205" t="s">
        <v>1069</v>
      </c>
      <c r="S79" s="205">
        <v>20000</v>
      </c>
      <c r="T79" s="205">
        <f t="shared" si="1"/>
        <v>250000</v>
      </c>
      <c r="U79" s="208"/>
    </row>
    <row r="80" spans="2:21" x14ac:dyDescent="0.3">
      <c r="B80" s="212"/>
      <c r="C80" s="213"/>
      <c r="D80" s="213"/>
      <c r="E80" s="230"/>
      <c r="F80" s="214" t="s">
        <v>155</v>
      </c>
      <c r="G80" s="214">
        <v>100000</v>
      </c>
      <c r="H80" s="230"/>
      <c r="I80" s="252" t="s">
        <v>1311</v>
      </c>
      <c r="J80" s="215">
        <v>50000</v>
      </c>
      <c r="K80" s="230"/>
      <c r="L80" s="253" t="s">
        <v>226</v>
      </c>
      <c r="M80" s="214">
        <v>0</v>
      </c>
      <c r="N80" s="230"/>
      <c r="O80" s="252" t="s">
        <v>1243</v>
      </c>
      <c r="P80" s="261">
        <v>30000</v>
      </c>
      <c r="Q80" s="230"/>
      <c r="R80" s="216" t="s">
        <v>1069</v>
      </c>
      <c r="S80" s="215">
        <v>20000</v>
      </c>
      <c r="T80" s="249">
        <f t="shared" si="1"/>
        <v>200000</v>
      </c>
      <c r="U80" s="217"/>
    </row>
    <row r="81" spans="2:21" x14ac:dyDescent="0.3">
      <c r="B81" s="227"/>
      <c r="C81" s="227"/>
      <c r="D81" s="227"/>
      <c r="E81" s="227"/>
      <c r="F81" s="206" t="s">
        <v>1288</v>
      </c>
      <c r="G81" s="205">
        <v>100000</v>
      </c>
      <c r="H81" s="227"/>
      <c r="I81" s="207" t="s">
        <v>1311</v>
      </c>
      <c r="J81" s="205">
        <v>100000</v>
      </c>
      <c r="K81" s="227"/>
      <c r="L81" s="255" t="s">
        <v>226</v>
      </c>
      <c r="M81" s="214">
        <v>0</v>
      </c>
      <c r="N81" s="227"/>
      <c r="O81" s="207" t="s">
        <v>1243</v>
      </c>
      <c r="P81" s="207">
        <v>30000</v>
      </c>
      <c r="Q81" s="227"/>
      <c r="R81" s="205" t="s">
        <v>1069</v>
      </c>
      <c r="S81" s="209">
        <v>20000</v>
      </c>
      <c r="T81" s="205">
        <f t="shared" si="1"/>
        <v>250000</v>
      </c>
      <c r="U81" s="208"/>
    </row>
    <row r="82" spans="2:21" x14ac:dyDescent="0.3">
      <c r="B82" s="227"/>
      <c r="C82" s="227"/>
      <c r="D82" s="227"/>
      <c r="E82" s="227"/>
      <c r="F82" s="206" t="s">
        <v>1260</v>
      </c>
      <c r="G82" s="205">
        <v>100000</v>
      </c>
      <c r="H82" s="227"/>
      <c r="I82" s="207" t="s">
        <v>1311</v>
      </c>
      <c r="J82" s="205">
        <v>100000</v>
      </c>
      <c r="K82" s="227"/>
      <c r="L82" s="255" t="s">
        <v>226</v>
      </c>
      <c r="M82" s="214">
        <v>0</v>
      </c>
      <c r="N82" s="227"/>
      <c r="O82" s="207" t="s">
        <v>1243</v>
      </c>
      <c r="P82" s="207">
        <v>30000</v>
      </c>
      <c r="Q82" s="227"/>
      <c r="R82" s="205" t="s">
        <v>1069</v>
      </c>
      <c r="S82" s="209">
        <v>20000</v>
      </c>
      <c r="T82" s="205">
        <f t="shared" si="1"/>
        <v>250000</v>
      </c>
      <c r="U82" s="208"/>
    </row>
    <row r="83" spans="2:21" ht="17.45" customHeight="1" x14ac:dyDescent="0.3">
      <c r="B83" s="227"/>
      <c r="C83" s="227"/>
      <c r="D83" s="227"/>
      <c r="E83" s="227"/>
      <c r="F83" s="206" t="s">
        <v>1257</v>
      </c>
      <c r="G83" s="205">
        <v>100000</v>
      </c>
      <c r="H83" s="227"/>
      <c r="I83" s="205" t="s">
        <v>159</v>
      </c>
      <c r="J83" s="205">
        <v>100000</v>
      </c>
      <c r="K83" s="227"/>
      <c r="L83" s="255" t="s">
        <v>226</v>
      </c>
      <c r="M83" s="205">
        <v>0</v>
      </c>
      <c r="N83" s="227"/>
      <c r="O83" s="207" t="s">
        <v>1207</v>
      </c>
      <c r="P83" s="207">
        <v>100000</v>
      </c>
      <c r="Q83" s="227"/>
      <c r="R83" s="205" t="s">
        <v>1069</v>
      </c>
      <c r="S83" s="205">
        <v>20000</v>
      </c>
      <c r="T83" s="205">
        <f t="shared" si="1"/>
        <v>320000</v>
      </c>
      <c r="U83" s="208"/>
    </row>
    <row r="84" spans="2:21" x14ac:dyDescent="0.3">
      <c r="B84" s="227"/>
      <c r="C84" s="227"/>
      <c r="D84" s="227"/>
      <c r="E84" s="227"/>
      <c r="F84" s="206" t="s">
        <v>1257</v>
      </c>
      <c r="G84" s="205">
        <v>100000</v>
      </c>
      <c r="H84" s="227"/>
      <c r="I84" s="205" t="s">
        <v>381</v>
      </c>
      <c r="J84" s="205">
        <v>100000</v>
      </c>
      <c r="K84" s="227"/>
      <c r="L84" s="255" t="s">
        <v>226</v>
      </c>
      <c r="M84" s="205">
        <v>0</v>
      </c>
      <c r="N84" s="227"/>
      <c r="O84" s="207" t="s">
        <v>1207</v>
      </c>
      <c r="P84" s="207">
        <v>100000</v>
      </c>
      <c r="Q84" s="227"/>
      <c r="R84" s="205" t="s">
        <v>1069</v>
      </c>
      <c r="S84" s="205">
        <v>20000</v>
      </c>
      <c r="T84" s="205">
        <f t="shared" si="1"/>
        <v>320000</v>
      </c>
      <c r="U84" s="208"/>
    </row>
    <row r="85" spans="2:21" ht="17.45" customHeight="1" x14ac:dyDescent="0.3">
      <c r="B85" s="227"/>
      <c r="C85" s="227"/>
      <c r="D85" s="227"/>
      <c r="E85" s="227"/>
      <c r="F85" s="257" t="s">
        <v>1257</v>
      </c>
      <c r="G85" s="210">
        <v>100000</v>
      </c>
      <c r="H85" s="227"/>
      <c r="I85" s="260" t="s">
        <v>1311</v>
      </c>
      <c r="J85" s="210">
        <v>100000</v>
      </c>
      <c r="K85" s="227"/>
      <c r="L85" s="256" t="s">
        <v>226</v>
      </c>
      <c r="M85" s="210">
        <v>0</v>
      </c>
      <c r="N85" s="227"/>
      <c r="O85" s="260" t="s">
        <v>1207</v>
      </c>
      <c r="P85" s="260">
        <v>100000</v>
      </c>
      <c r="Q85" s="227"/>
      <c r="R85" s="210" t="s">
        <v>1069</v>
      </c>
      <c r="S85" s="210">
        <v>20000</v>
      </c>
      <c r="T85" s="210">
        <f t="shared" si="1"/>
        <v>320000</v>
      </c>
      <c r="U85" s="208"/>
    </row>
    <row r="86" spans="2:21" ht="17.45" customHeight="1" x14ac:dyDescent="0.3">
      <c r="B86" s="227"/>
      <c r="C86" s="227"/>
      <c r="D86" s="227"/>
      <c r="E86" s="227"/>
      <c r="F86" s="206" t="s">
        <v>1257</v>
      </c>
      <c r="G86" s="205">
        <v>100000</v>
      </c>
      <c r="H86" s="227"/>
      <c r="I86" s="205" t="s">
        <v>159</v>
      </c>
      <c r="J86" s="205">
        <v>100000</v>
      </c>
      <c r="K86" s="227"/>
      <c r="L86" s="255" t="s">
        <v>226</v>
      </c>
      <c r="M86" s="205">
        <v>0</v>
      </c>
      <c r="N86" s="227"/>
      <c r="O86" s="207" t="s">
        <v>1242</v>
      </c>
      <c r="P86" s="207">
        <v>30000</v>
      </c>
      <c r="Q86" s="227"/>
      <c r="R86" s="205" t="s">
        <v>1069</v>
      </c>
      <c r="S86" s="205">
        <v>20000</v>
      </c>
      <c r="T86" s="205">
        <f t="shared" si="1"/>
        <v>250000</v>
      </c>
      <c r="U86" s="208"/>
    </row>
    <row r="87" spans="2:21" x14ac:dyDescent="0.3">
      <c r="B87" s="227"/>
      <c r="C87" s="227"/>
      <c r="D87" s="227"/>
      <c r="E87" s="227"/>
      <c r="F87" s="206" t="s">
        <v>1257</v>
      </c>
      <c r="G87" s="205">
        <v>100000</v>
      </c>
      <c r="H87" s="227"/>
      <c r="I87" s="205" t="s">
        <v>381</v>
      </c>
      <c r="J87" s="205">
        <v>100000</v>
      </c>
      <c r="K87" s="227"/>
      <c r="L87" s="255" t="s">
        <v>226</v>
      </c>
      <c r="M87" s="205">
        <v>0</v>
      </c>
      <c r="N87" s="227"/>
      <c r="O87" s="207" t="s">
        <v>1242</v>
      </c>
      <c r="P87" s="207">
        <v>30000</v>
      </c>
      <c r="Q87" s="227"/>
      <c r="R87" s="205" t="s">
        <v>1069</v>
      </c>
      <c r="S87" s="205">
        <v>20000</v>
      </c>
      <c r="T87" s="205">
        <f t="shared" si="1"/>
        <v>250000</v>
      </c>
      <c r="U87" s="208"/>
    </row>
    <row r="88" spans="2:21" ht="17.45" customHeight="1" x14ac:dyDescent="0.3">
      <c r="B88" s="227"/>
      <c r="C88" s="227"/>
      <c r="D88" s="227"/>
      <c r="E88" s="227"/>
      <c r="F88" s="206" t="s">
        <v>1257</v>
      </c>
      <c r="G88" s="205">
        <v>100000</v>
      </c>
      <c r="H88" s="227"/>
      <c r="I88" s="207" t="s">
        <v>1311</v>
      </c>
      <c r="J88" s="205">
        <v>100000</v>
      </c>
      <c r="K88" s="227"/>
      <c r="L88" s="255" t="s">
        <v>226</v>
      </c>
      <c r="M88" s="205">
        <v>0</v>
      </c>
      <c r="N88" s="227"/>
      <c r="O88" s="207" t="s">
        <v>1242</v>
      </c>
      <c r="P88" s="207">
        <v>30000</v>
      </c>
      <c r="Q88" s="227"/>
      <c r="R88" s="205" t="s">
        <v>1069</v>
      </c>
      <c r="S88" s="205">
        <v>20000</v>
      </c>
      <c r="T88" s="205">
        <f t="shared" si="1"/>
        <v>250000</v>
      </c>
      <c r="U88" s="208"/>
    </row>
    <row r="89" spans="2:21" ht="17.45" customHeight="1" x14ac:dyDescent="0.3">
      <c r="B89" s="227"/>
      <c r="C89" s="227"/>
      <c r="D89" s="227"/>
      <c r="E89" s="227"/>
      <c r="F89" s="206" t="s">
        <v>1257</v>
      </c>
      <c r="G89" s="205">
        <v>100000</v>
      </c>
      <c r="H89" s="227"/>
      <c r="I89" s="205" t="s">
        <v>159</v>
      </c>
      <c r="J89" s="205">
        <v>100000</v>
      </c>
      <c r="K89" s="227"/>
      <c r="L89" s="255" t="s">
        <v>226</v>
      </c>
      <c r="M89" s="205">
        <v>0</v>
      </c>
      <c r="N89" s="227"/>
      <c r="O89" s="207" t="s">
        <v>1243</v>
      </c>
      <c r="P89" s="207">
        <v>30000</v>
      </c>
      <c r="Q89" s="227"/>
      <c r="R89" s="205" t="s">
        <v>1069</v>
      </c>
      <c r="S89" s="205">
        <v>20000</v>
      </c>
      <c r="T89" s="205">
        <f t="shared" si="1"/>
        <v>250000</v>
      </c>
      <c r="U89" s="208"/>
    </row>
    <row r="90" spans="2:21" x14ac:dyDescent="0.3">
      <c r="B90" s="227"/>
      <c r="C90" s="227"/>
      <c r="D90" s="227"/>
      <c r="E90" s="227"/>
      <c r="F90" s="206" t="s">
        <v>1257</v>
      </c>
      <c r="G90" s="205">
        <v>100000</v>
      </c>
      <c r="H90" s="227"/>
      <c r="I90" s="205" t="s">
        <v>381</v>
      </c>
      <c r="J90" s="205">
        <v>100000</v>
      </c>
      <c r="K90" s="227"/>
      <c r="L90" s="255" t="s">
        <v>226</v>
      </c>
      <c r="M90" s="205">
        <v>0</v>
      </c>
      <c r="N90" s="227"/>
      <c r="O90" s="207" t="s">
        <v>1243</v>
      </c>
      <c r="P90" s="207">
        <v>30000</v>
      </c>
      <c r="Q90" s="227"/>
      <c r="R90" s="205" t="s">
        <v>1069</v>
      </c>
      <c r="S90" s="205">
        <v>20000</v>
      </c>
      <c r="T90" s="205">
        <f t="shared" si="1"/>
        <v>250000</v>
      </c>
      <c r="U90" s="208"/>
    </row>
    <row r="91" spans="2:21" ht="17.45" customHeight="1" x14ac:dyDescent="0.3">
      <c r="B91" s="227"/>
      <c r="C91" s="227"/>
      <c r="D91" s="227"/>
      <c r="E91" s="227"/>
      <c r="F91" s="206" t="s">
        <v>1257</v>
      </c>
      <c r="G91" s="205">
        <v>100000</v>
      </c>
      <c r="H91" s="227"/>
      <c r="I91" s="207" t="s">
        <v>1311</v>
      </c>
      <c r="J91" s="205">
        <v>100000</v>
      </c>
      <c r="K91" s="227"/>
      <c r="L91" s="255" t="s">
        <v>226</v>
      </c>
      <c r="M91" s="205">
        <v>0</v>
      </c>
      <c r="N91" s="227"/>
      <c r="O91" s="207" t="s">
        <v>1243</v>
      </c>
      <c r="P91" s="207">
        <v>30000</v>
      </c>
      <c r="Q91" s="227"/>
      <c r="R91" s="205" t="s">
        <v>1069</v>
      </c>
      <c r="S91" s="205">
        <v>20000</v>
      </c>
      <c r="T91" s="205">
        <f t="shared" si="1"/>
        <v>250000</v>
      </c>
      <c r="U91" s="208"/>
    </row>
    <row r="92" spans="2:21" x14ac:dyDescent="0.3">
      <c r="B92" s="227"/>
      <c r="C92" s="227"/>
      <c r="D92" s="227"/>
      <c r="E92" s="227"/>
      <c r="F92" s="206" t="s">
        <v>1272</v>
      </c>
      <c r="G92" s="205">
        <v>100000</v>
      </c>
      <c r="H92" s="227"/>
      <c r="I92" s="205" t="s">
        <v>381</v>
      </c>
      <c r="J92" s="205">
        <v>100000</v>
      </c>
      <c r="K92" s="227"/>
      <c r="L92" s="255" t="s">
        <v>226</v>
      </c>
      <c r="M92" s="205">
        <v>0</v>
      </c>
      <c r="N92" s="227"/>
      <c r="O92" s="207" t="s">
        <v>1207</v>
      </c>
      <c r="P92" s="207">
        <v>100000</v>
      </c>
      <c r="Q92" s="227"/>
      <c r="R92" s="205" t="s">
        <v>1069</v>
      </c>
      <c r="S92" s="205">
        <v>20000</v>
      </c>
      <c r="T92" s="205">
        <f t="shared" si="1"/>
        <v>320000</v>
      </c>
      <c r="U92" s="208"/>
    </row>
    <row r="93" spans="2:21" ht="17.45" customHeight="1" x14ac:dyDescent="0.3">
      <c r="B93" s="227"/>
      <c r="C93" s="227"/>
      <c r="D93" s="227"/>
      <c r="E93" s="227"/>
      <c r="F93" s="257" t="s">
        <v>1272</v>
      </c>
      <c r="G93" s="210">
        <v>100000</v>
      </c>
      <c r="H93" s="227"/>
      <c r="I93" s="260" t="s">
        <v>1311</v>
      </c>
      <c r="J93" s="210">
        <v>100000</v>
      </c>
      <c r="K93" s="227"/>
      <c r="L93" s="256" t="s">
        <v>226</v>
      </c>
      <c r="M93" s="210">
        <v>0</v>
      </c>
      <c r="N93" s="227"/>
      <c r="O93" s="260" t="s">
        <v>1207</v>
      </c>
      <c r="P93" s="260">
        <v>100000</v>
      </c>
      <c r="Q93" s="227"/>
      <c r="R93" s="210" t="s">
        <v>1069</v>
      </c>
      <c r="S93" s="210">
        <v>20000</v>
      </c>
      <c r="T93" s="210">
        <f t="shared" si="1"/>
        <v>320000</v>
      </c>
      <c r="U93" s="208"/>
    </row>
    <row r="94" spans="2:21" x14ac:dyDescent="0.3">
      <c r="B94" s="227"/>
      <c r="C94" s="227"/>
      <c r="D94" s="227"/>
      <c r="E94" s="227"/>
      <c r="F94" s="206" t="s">
        <v>1272</v>
      </c>
      <c r="G94" s="205">
        <v>100000</v>
      </c>
      <c r="H94" s="227"/>
      <c r="I94" s="205" t="s">
        <v>381</v>
      </c>
      <c r="J94" s="205">
        <v>100000</v>
      </c>
      <c r="K94" s="227"/>
      <c r="L94" s="255" t="s">
        <v>226</v>
      </c>
      <c r="M94" s="205">
        <v>0</v>
      </c>
      <c r="N94" s="227"/>
      <c r="O94" s="207" t="s">
        <v>1242</v>
      </c>
      <c r="P94" s="207">
        <v>30000</v>
      </c>
      <c r="Q94" s="227"/>
      <c r="R94" s="205" t="s">
        <v>1069</v>
      </c>
      <c r="S94" s="205">
        <v>20000</v>
      </c>
      <c r="T94" s="205">
        <f t="shared" si="1"/>
        <v>250000</v>
      </c>
      <c r="U94" s="208"/>
    </row>
    <row r="95" spans="2:21" ht="17.45" customHeight="1" x14ac:dyDescent="0.3">
      <c r="B95" s="227"/>
      <c r="C95" s="227"/>
      <c r="D95" s="227"/>
      <c r="E95" s="227"/>
      <c r="F95" s="206" t="s">
        <v>1272</v>
      </c>
      <c r="G95" s="205">
        <v>100000</v>
      </c>
      <c r="H95" s="227"/>
      <c r="I95" s="207" t="s">
        <v>1311</v>
      </c>
      <c r="J95" s="205">
        <v>100000</v>
      </c>
      <c r="K95" s="227"/>
      <c r="L95" s="255" t="s">
        <v>226</v>
      </c>
      <c r="M95" s="205">
        <v>0</v>
      </c>
      <c r="N95" s="227"/>
      <c r="O95" s="207" t="s">
        <v>1242</v>
      </c>
      <c r="P95" s="207">
        <v>30000</v>
      </c>
      <c r="Q95" s="227"/>
      <c r="R95" s="205" t="s">
        <v>1069</v>
      </c>
      <c r="S95" s="205">
        <v>20000</v>
      </c>
      <c r="T95" s="205">
        <f t="shared" si="1"/>
        <v>250000</v>
      </c>
      <c r="U95" s="208"/>
    </row>
    <row r="96" spans="2:21" x14ac:dyDescent="0.3">
      <c r="B96" s="227"/>
      <c r="C96" s="227"/>
      <c r="D96" s="227"/>
      <c r="E96" s="227"/>
      <c r="F96" s="206" t="s">
        <v>1272</v>
      </c>
      <c r="G96" s="205">
        <v>100000</v>
      </c>
      <c r="H96" s="227"/>
      <c r="I96" s="205" t="s">
        <v>381</v>
      </c>
      <c r="J96" s="205">
        <v>100000</v>
      </c>
      <c r="K96" s="227"/>
      <c r="L96" s="255" t="s">
        <v>226</v>
      </c>
      <c r="M96" s="205">
        <v>0</v>
      </c>
      <c r="N96" s="227"/>
      <c r="O96" s="207" t="s">
        <v>1243</v>
      </c>
      <c r="P96" s="207">
        <v>30000</v>
      </c>
      <c r="Q96" s="227"/>
      <c r="R96" s="205" t="s">
        <v>1069</v>
      </c>
      <c r="S96" s="205">
        <v>20000</v>
      </c>
      <c r="T96" s="205">
        <f t="shared" si="1"/>
        <v>250000</v>
      </c>
      <c r="U96" s="208"/>
    </row>
    <row r="97" spans="2:21" ht="17.45" customHeight="1" x14ac:dyDescent="0.3">
      <c r="B97" s="227"/>
      <c r="C97" s="227"/>
      <c r="D97" s="227"/>
      <c r="E97" s="227"/>
      <c r="F97" s="206" t="s">
        <v>1272</v>
      </c>
      <c r="G97" s="205">
        <v>100000</v>
      </c>
      <c r="H97" s="227"/>
      <c r="I97" s="207" t="s">
        <v>1311</v>
      </c>
      <c r="J97" s="205">
        <v>100000</v>
      </c>
      <c r="K97" s="227"/>
      <c r="L97" s="255" t="s">
        <v>226</v>
      </c>
      <c r="M97" s="205">
        <v>0</v>
      </c>
      <c r="N97" s="227"/>
      <c r="O97" s="207" t="s">
        <v>1243</v>
      </c>
      <c r="P97" s="207">
        <v>30000</v>
      </c>
      <c r="Q97" s="227"/>
      <c r="R97" s="205" t="s">
        <v>1069</v>
      </c>
      <c r="S97" s="205">
        <v>20000</v>
      </c>
      <c r="T97" s="205">
        <f t="shared" si="1"/>
        <v>250000</v>
      </c>
      <c r="U97" s="208"/>
    </row>
    <row r="98" spans="2:21" ht="17.45" customHeight="1" x14ac:dyDescent="0.3">
      <c r="B98" s="227"/>
      <c r="C98" s="227"/>
      <c r="D98" s="227"/>
      <c r="E98" s="227"/>
      <c r="F98" s="204" t="s">
        <v>1187</v>
      </c>
      <c r="G98" s="205">
        <v>100000</v>
      </c>
      <c r="H98" s="227"/>
      <c r="I98" s="205" t="s">
        <v>159</v>
      </c>
      <c r="J98" s="205">
        <v>100000</v>
      </c>
      <c r="K98" s="227"/>
      <c r="L98" s="255" t="s">
        <v>226</v>
      </c>
      <c r="M98" s="205">
        <v>0</v>
      </c>
      <c r="N98" s="227"/>
      <c r="O98" s="207" t="s">
        <v>1207</v>
      </c>
      <c r="P98" s="207">
        <v>100000</v>
      </c>
      <c r="Q98" s="227"/>
      <c r="R98" s="205" t="s">
        <v>1069</v>
      </c>
      <c r="S98" s="205">
        <v>20000</v>
      </c>
      <c r="T98" s="205">
        <f t="shared" si="1"/>
        <v>320000</v>
      </c>
      <c r="U98" s="208"/>
    </row>
    <row r="99" spans="2:21" x14ac:dyDescent="0.3">
      <c r="B99" s="227"/>
      <c r="C99" s="227"/>
      <c r="D99" s="227"/>
      <c r="E99" s="227"/>
      <c r="F99" s="204" t="s">
        <v>1187</v>
      </c>
      <c r="G99" s="205">
        <v>100000</v>
      </c>
      <c r="H99" s="227"/>
      <c r="I99" s="205" t="s">
        <v>381</v>
      </c>
      <c r="J99" s="205">
        <v>100000</v>
      </c>
      <c r="K99" s="227"/>
      <c r="L99" s="255" t="s">
        <v>226</v>
      </c>
      <c r="M99" s="205">
        <v>0</v>
      </c>
      <c r="N99" s="227"/>
      <c r="O99" s="207" t="s">
        <v>1207</v>
      </c>
      <c r="P99" s="207">
        <v>100000</v>
      </c>
      <c r="Q99" s="227"/>
      <c r="R99" s="205" t="s">
        <v>1069</v>
      </c>
      <c r="S99" s="205">
        <v>20000</v>
      </c>
      <c r="T99" s="205">
        <f t="shared" si="1"/>
        <v>320000</v>
      </c>
      <c r="U99" s="208"/>
    </row>
    <row r="100" spans="2:21" ht="17.45" customHeight="1" x14ac:dyDescent="0.3">
      <c r="B100" s="227"/>
      <c r="C100" s="227"/>
      <c r="D100" s="227"/>
      <c r="E100" s="227"/>
      <c r="F100" s="204" t="s">
        <v>1187</v>
      </c>
      <c r="G100" s="205">
        <v>100000</v>
      </c>
      <c r="H100" s="227"/>
      <c r="I100" s="207" t="s">
        <v>1311</v>
      </c>
      <c r="J100" s="205">
        <v>100000</v>
      </c>
      <c r="K100" s="227"/>
      <c r="L100" s="255" t="s">
        <v>226</v>
      </c>
      <c r="M100" s="205">
        <v>0</v>
      </c>
      <c r="N100" s="227"/>
      <c r="O100" s="207" t="s">
        <v>1207</v>
      </c>
      <c r="P100" s="207">
        <v>100000</v>
      </c>
      <c r="Q100" s="227"/>
      <c r="R100" s="205" t="s">
        <v>1069</v>
      </c>
      <c r="S100" s="205">
        <v>20000</v>
      </c>
      <c r="T100" s="205">
        <f t="shared" si="1"/>
        <v>320000</v>
      </c>
      <c r="U100" s="208"/>
    </row>
    <row r="101" spans="2:21" ht="17.45" customHeight="1" x14ac:dyDescent="0.3">
      <c r="B101" s="227"/>
      <c r="C101" s="227"/>
      <c r="D101" s="227"/>
      <c r="E101" s="227"/>
      <c r="F101" s="204" t="s">
        <v>1187</v>
      </c>
      <c r="G101" s="205">
        <v>100000</v>
      </c>
      <c r="H101" s="227"/>
      <c r="I101" s="205" t="s">
        <v>159</v>
      </c>
      <c r="J101" s="205">
        <v>100000</v>
      </c>
      <c r="K101" s="227"/>
      <c r="L101" s="255" t="s">
        <v>226</v>
      </c>
      <c r="M101" s="205">
        <v>0</v>
      </c>
      <c r="N101" s="227"/>
      <c r="O101" s="207" t="s">
        <v>1242</v>
      </c>
      <c r="P101" s="207">
        <v>30000</v>
      </c>
      <c r="Q101" s="227"/>
      <c r="R101" s="205" t="s">
        <v>1069</v>
      </c>
      <c r="S101" s="205">
        <v>20000</v>
      </c>
      <c r="T101" s="205">
        <f t="shared" si="1"/>
        <v>250000</v>
      </c>
      <c r="U101" s="208"/>
    </row>
    <row r="102" spans="2:21" x14ac:dyDescent="0.3">
      <c r="B102" s="227"/>
      <c r="C102" s="227"/>
      <c r="D102" s="227"/>
      <c r="E102" s="227"/>
      <c r="F102" s="204" t="s">
        <v>1187</v>
      </c>
      <c r="G102" s="205">
        <v>100000</v>
      </c>
      <c r="H102" s="227"/>
      <c r="I102" s="205" t="s">
        <v>381</v>
      </c>
      <c r="J102" s="205">
        <v>100000</v>
      </c>
      <c r="K102" s="227"/>
      <c r="L102" s="255" t="s">
        <v>226</v>
      </c>
      <c r="M102" s="205">
        <v>0</v>
      </c>
      <c r="N102" s="227"/>
      <c r="O102" s="207" t="s">
        <v>1242</v>
      </c>
      <c r="P102" s="207">
        <v>30000</v>
      </c>
      <c r="Q102" s="227"/>
      <c r="R102" s="205" t="s">
        <v>1069</v>
      </c>
      <c r="S102" s="205">
        <v>20000</v>
      </c>
      <c r="T102" s="205">
        <f t="shared" si="1"/>
        <v>250000</v>
      </c>
      <c r="U102" s="208"/>
    </row>
    <row r="103" spans="2:21" ht="17.45" customHeight="1" x14ac:dyDescent="0.3">
      <c r="B103" s="227"/>
      <c r="C103" s="227"/>
      <c r="D103" s="227"/>
      <c r="E103" s="227"/>
      <c r="F103" s="204" t="s">
        <v>1187</v>
      </c>
      <c r="G103" s="205">
        <v>100000</v>
      </c>
      <c r="H103" s="227"/>
      <c r="I103" s="207" t="s">
        <v>1311</v>
      </c>
      <c r="J103" s="205">
        <v>100000</v>
      </c>
      <c r="K103" s="227"/>
      <c r="L103" s="255" t="s">
        <v>226</v>
      </c>
      <c r="M103" s="205">
        <v>0</v>
      </c>
      <c r="N103" s="227"/>
      <c r="O103" s="207" t="s">
        <v>1242</v>
      </c>
      <c r="P103" s="207">
        <v>30000</v>
      </c>
      <c r="Q103" s="227"/>
      <c r="R103" s="205" t="s">
        <v>1069</v>
      </c>
      <c r="S103" s="205">
        <v>20000</v>
      </c>
      <c r="T103" s="205">
        <f t="shared" si="1"/>
        <v>250000</v>
      </c>
      <c r="U103" s="208"/>
    </row>
    <row r="104" spans="2:21" ht="17.45" customHeight="1" x14ac:dyDescent="0.3">
      <c r="B104" s="227"/>
      <c r="C104" s="227"/>
      <c r="D104" s="227"/>
      <c r="E104" s="227"/>
      <c r="F104" s="204" t="s">
        <v>1187</v>
      </c>
      <c r="G104" s="205">
        <v>100000</v>
      </c>
      <c r="H104" s="227"/>
      <c r="I104" s="205" t="s">
        <v>159</v>
      </c>
      <c r="J104" s="205">
        <v>100000</v>
      </c>
      <c r="K104" s="227"/>
      <c r="L104" s="255" t="s">
        <v>226</v>
      </c>
      <c r="M104" s="205">
        <v>0</v>
      </c>
      <c r="N104" s="227"/>
      <c r="O104" s="207" t="s">
        <v>1243</v>
      </c>
      <c r="P104" s="207">
        <v>30000</v>
      </c>
      <c r="Q104" s="227"/>
      <c r="R104" s="205" t="s">
        <v>1069</v>
      </c>
      <c r="S104" s="205">
        <v>20000</v>
      </c>
      <c r="T104" s="205">
        <f t="shared" si="1"/>
        <v>250000</v>
      </c>
      <c r="U104" s="208"/>
    </row>
    <row r="105" spans="2:21" x14ac:dyDescent="0.3">
      <c r="B105" s="227"/>
      <c r="C105" s="227"/>
      <c r="D105" s="227"/>
      <c r="E105" s="227"/>
      <c r="F105" s="204" t="s">
        <v>1187</v>
      </c>
      <c r="G105" s="205">
        <v>100000</v>
      </c>
      <c r="H105" s="227"/>
      <c r="I105" s="205" t="s">
        <v>381</v>
      </c>
      <c r="J105" s="205">
        <v>100000</v>
      </c>
      <c r="K105" s="227"/>
      <c r="L105" s="255" t="s">
        <v>226</v>
      </c>
      <c r="M105" s="205">
        <v>0</v>
      </c>
      <c r="N105" s="227"/>
      <c r="O105" s="207" t="s">
        <v>1243</v>
      </c>
      <c r="P105" s="207">
        <v>30000</v>
      </c>
      <c r="Q105" s="227"/>
      <c r="R105" s="205" t="s">
        <v>1069</v>
      </c>
      <c r="S105" s="205">
        <v>20000</v>
      </c>
      <c r="T105" s="205">
        <f t="shared" si="1"/>
        <v>250000</v>
      </c>
      <c r="U105" s="208"/>
    </row>
    <row r="106" spans="2:21" ht="17.45" customHeight="1" x14ac:dyDescent="0.3">
      <c r="B106" s="227"/>
      <c r="C106" s="227"/>
      <c r="D106" s="227"/>
      <c r="E106" s="227"/>
      <c r="F106" s="204" t="s">
        <v>1187</v>
      </c>
      <c r="G106" s="205">
        <v>100000</v>
      </c>
      <c r="H106" s="227"/>
      <c r="I106" s="207" t="s">
        <v>1311</v>
      </c>
      <c r="J106" s="205">
        <v>100000</v>
      </c>
      <c r="K106" s="227"/>
      <c r="L106" s="255" t="s">
        <v>226</v>
      </c>
      <c r="M106" s="205">
        <v>0</v>
      </c>
      <c r="N106" s="227"/>
      <c r="O106" s="207" t="s">
        <v>1243</v>
      </c>
      <c r="P106" s="207">
        <v>30000</v>
      </c>
      <c r="Q106" s="227"/>
      <c r="R106" s="205" t="s">
        <v>1069</v>
      </c>
      <c r="S106" s="205">
        <v>20000</v>
      </c>
      <c r="T106" s="205">
        <f t="shared" si="1"/>
        <v>250000</v>
      </c>
      <c r="U106" s="208"/>
    </row>
    <row r="107" spans="2:21" x14ac:dyDescent="0.3">
      <c r="B107" s="212"/>
      <c r="C107" s="213"/>
      <c r="D107" s="213"/>
      <c r="E107" s="230"/>
      <c r="F107" s="285" t="s">
        <v>1266</v>
      </c>
      <c r="G107" s="214">
        <v>100000</v>
      </c>
      <c r="H107" s="230"/>
      <c r="I107" s="216" t="s">
        <v>381</v>
      </c>
      <c r="J107" s="215">
        <v>50000</v>
      </c>
      <c r="K107" s="230"/>
      <c r="L107" s="253" t="s">
        <v>226</v>
      </c>
      <c r="M107" s="214">
        <v>0</v>
      </c>
      <c r="N107" s="230"/>
      <c r="O107" s="252" t="s">
        <v>1207</v>
      </c>
      <c r="P107" s="261">
        <v>100000</v>
      </c>
      <c r="Q107" s="230"/>
      <c r="R107" s="216" t="s">
        <v>1069</v>
      </c>
      <c r="S107" s="215">
        <v>20000</v>
      </c>
      <c r="T107" s="249">
        <f t="shared" si="1"/>
        <v>270000</v>
      </c>
      <c r="U107" s="217"/>
    </row>
    <row r="108" spans="2:21" x14ac:dyDescent="0.3">
      <c r="B108" s="212"/>
      <c r="C108" s="213"/>
      <c r="D108" s="213"/>
      <c r="E108" s="230"/>
      <c r="F108" s="285" t="s">
        <v>1266</v>
      </c>
      <c r="G108" s="214">
        <v>100000</v>
      </c>
      <c r="H108" s="230"/>
      <c r="I108" s="252" t="s">
        <v>1311</v>
      </c>
      <c r="J108" s="215">
        <v>50000</v>
      </c>
      <c r="K108" s="230"/>
      <c r="L108" s="253" t="s">
        <v>226</v>
      </c>
      <c r="M108" s="214">
        <v>0</v>
      </c>
      <c r="N108" s="230"/>
      <c r="O108" s="252" t="s">
        <v>1207</v>
      </c>
      <c r="P108" s="261">
        <v>100000</v>
      </c>
      <c r="Q108" s="230"/>
      <c r="R108" s="216" t="s">
        <v>1069</v>
      </c>
      <c r="S108" s="215">
        <v>20000</v>
      </c>
      <c r="T108" s="249">
        <f t="shared" si="1"/>
        <v>270000</v>
      </c>
      <c r="U108" s="217"/>
    </row>
    <row r="109" spans="2:21" x14ac:dyDescent="0.3">
      <c r="B109" s="212"/>
      <c r="C109" s="213"/>
      <c r="D109" s="213"/>
      <c r="E109" s="230"/>
      <c r="F109" s="285" t="s">
        <v>1266</v>
      </c>
      <c r="G109" s="214">
        <v>100000</v>
      </c>
      <c r="H109" s="230"/>
      <c r="I109" s="216" t="s">
        <v>381</v>
      </c>
      <c r="J109" s="215">
        <v>50000</v>
      </c>
      <c r="K109" s="230"/>
      <c r="L109" s="253" t="s">
        <v>226</v>
      </c>
      <c r="M109" s="214">
        <v>0</v>
      </c>
      <c r="N109" s="230"/>
      <c r="O109" s="252" t="s">
        <v>1242</v>
      </c>
      <c r="P109" s="261">
        <v>30000</v>
      </c>
      <c r="Q109" s="230"/>
      <c r="R109" s="216" t="s">
        <v>1069</v>
      </c>
      <c r="S109" s="215">
        <v>20000</v>
      </c>
      <c r="T109" s="249">
        <f t="shared" si="1"/>
        <v>200000</v>
      </c>
      <c r="U109" s="217"/>
    </row>
    <row r="110" spans="2:21" x14ac:dyDescent="0.3">
      <c r="B110" s="212"/>
      <c r="C110" s="213"/>
      <c r="D110" s="213"/>
      <c r="E110" s="230"/>
      <c r="F110" s="285" t="s">
        <v>1266</v>
      </c>
      <c r="G110" s="214">
        <v>100000</v>
      </c>
      <c r="H110" s="230"/>
      <c r="I110" s="252" t="s">
        <v>1311</v>
      </c>
      <c r="J110" s="215">
        <v>50000</v>
      </c>
      <c r="K110" s="230"/>
      <c r="L110" s="253" t="s">
        <v>226</v>
      </c>
      <c r="M110" s="214">
        <v>0</v>
      </c>
      <c r="N110" s="230"/>
      <c r="O110" s="252" t="s">
        <v>1242</v>
      </c>
      <c r="P110" s="261">
        <v>30000</v>
      </c>
      <c r="Q110" s="230"/>
      <c r="R110" s="216" t="s">
        <v>1069</v>
      </c>
      <c r="S110" s="215">
        <v>20000</v>
      </c>
      <c r="T110" s="249">
        <f t="shared" si="1"/>
        <v>200000</v>
      </c>
      <c r="U110" s="217"/>
    </row>
    <row r="111" spans="2:21" x14ac:dyDescent="0.3">
      <c r="B111" s="212"/>
      <c r="C111" s="213"/>
      <c r="D111" s="213"/>
      <c r="E111" s="230"/>
      <c r="F111" s="285" t="s">
        <v>1266</v>
      </c>
      <c r="G111" s="214">
        <v>100000</v>
      </c>
      <c r="H111" s="230"/>
      <c r="I111" s="216" t="s">
        <v>381</v>
      </c>
      <c r="J111" s="215">
        <v>50000</v>
      </c>
      <c r="K111" s="230"/>
      <c r="L111" s="253" t="s">
        <v>226</v>
      </c>
      <c r="M111" s="214">
        <v>0</v>
      </c>
      <c r="N111" s="230"/>
      <c r="O111" s="252" t="s">
        <v>1243</v>
      </c>
      <c r="P111" s="261">
        <v>30000</v>
      </c>
      <c r="Q111" s="230"/>
      <c r="R111" s="216" t="s">
        <v>1069</v>
      </c>
      <c r="S111" s="215">
        <v>20000</v>
      </c>
      <c r="T111" s="249">
        <f t="shared" si="1"/>
        <v>200000</v>
      </c>
      <c r="U111" s="217"/>
    </row>
    <row r="112" spans="2:21" x14ac:dyDescent="0.3">
      <c r="B112" s="212"/>
      <c r="C112" s="213"/>
      <c r="D112" s="213"/>
      <c r="E112" s="230"/>
      <c r="F112" s="285" t="s">
        <v>1266</v>
      </c>
      <c r="G112" s="214">
        <v>100000</v>
      </c>
      <c r="H112" s="230"/>
      <c r="I112" s="252" t="s">
        <v>1311</v>
      </c>
      <c r="J112" s="215">
        <v>50000</v>
      </c>
      <c r="K112" s="230"/>
      <c r="L112" s="253" t="s">
        <v>226</v>
      </c>
      <c r="M112" s="214">
        <v>0</v>
      </c>
      <c r="N112" s="230"/>
      <c r="O112" s="252" t="s">
        <v>1243</v>
      </c>
      <c r="P112" s="261">
        <v>30000</v>
      </c>
      <c r="Q112" s="230"/>
      <c r="R112" s="216" t="s">
        <v>1069</v>
      </c>
      <c r="S112" s="215">
        <v>20000</v>
      </c>
      <c r="T112" s="249">
        <f t="shared" si="1"/>
        <v>200000</v>
      </c>
      <c r="U112" s="217"/>
    </row>
    <row r="113" spans="2:21" x14ac:dyDescent="0.3">
      <c r="B113" s="227"/>
      <c r="C113" s="227"/>
      <c r="D113" s="227"/>
      <c r="E113" s="227"/>
      <c r="F113" s="206" t="s">
        <v>1269</v>
      </c>
      <c r="G113" s="205">
        <v>100000</v>
      </c>
      <c r="H113" s="227"/>
      <c r="I113" s="207" t="s">
        <v>1313</v>
      </c>
      <c r="J113" s="205">
        <v>100000</v>
      </c>
      <c r="K113" s="227"/>
      <c r="L113" s="255" t="s">
        <v>226</v>
      </c>
      <c r="M113" s="205">
        <v>0</v>
      </c>
      <c r="N113" s="227"/>
      <c r="O113" s="207" t="s">
        <v>1207</v>
      </c>
      <c r="P113" s="207">
        <v>100000</v>
      </c>
      <c r="Q113" s="227"/>
      <c r="R113" s="207" t="s">
        <v>1354</v>
      </c>
      <c r="S113" s="207">
        <v>0</v>
      </c>
      <c r="T113" s="205">
        <f t="shared" si="1"/>
        <v>300000</v>
      </c>
      <c r="U113" s="208"/>
    </row>
    <row r="114" spans="2:21" x14ac:dyDescent="0.3">
      <c r="B114" s="227"/>
      <c r="C114" s="227"/>
      <c r="D114" s="227"/>
      <c r="E114" s="227"/>
      <c r="F114" s="204" t="s">
        <v>109</v>
      </c>
      <c r="G114" s="205">
        <v>100000</v>
      </c>
      <c r="H114" s="227"/>
      <c r="I114" s="205" t="s">
        <v>159</v>
      </c>
      <c r="J114" s="205">
        <v>100000</v>
      </c>
      <c r="K114" s="227"/>
      <c r="L114" s="255" t="s">
        <v>226</v>
      </c>
      <c r="M114" s="214">
        <v>0</v>
      </c>
      <c r="N114" s="227"/>
      <c r="O114" s="207" t="s">
        <v>1207</v>
      </c>
      <c r="P114" s="207">
        <v>100000</v>
      </c>
      <c r="Q114" s="227"/>
      <c r="R114" s="207" t="s">
        <v>1354</v>
      </c>
      <c r="S114" s="262">
        <v>0</v>
      </c>
      <c r="T114" s="205">
        <f t="shared" si="1"/>
        <v>300000</v>
      </c>
      <c r="U114" s="208"/>
    </row>
    <row r="115" spans="2:21" x14ac:dyDescent="0.3">
      <c r="B115" s="227"/>
      <c r="C115" s="227"/>
      <c r="D115" s="227"/>
      <c r="E115" s="227"/>
      <c r="F115" s="204" t="s">
        <v>1351</v>
      </c>
      <c r="G115" s="205">
        <v>100000</v>
      </c>
      <c r="H115" s="227"/>
      <c r="I115" s="205" t="s">
        <v>159</v>
      </c>
      <c r="J115" s="205">
        <v>100000</v>
      </c>
      <c r="K115" s="227"/>
      <c r="L115" s="255" t="s">
        <v>226</v>
      </c>
      <c r="M115" s="214">
        <v>0</v>
      </c>
      <c r="N115" s="227"/>
      <c r="O115" s="207" t="s">
        <v>1207</v>
      </c>
      <c r="P115" s="207">
        <v>100000</v>
      </c>
      <c r="Q115" s="227"/>
      <c r="R115" s="207" t="s">
        <v>1354</v>
      </c>
      <c r="S115" s="262">
        <v>0</v>
      </c>
      <c r="T115" s="205">
        <f t="shared" si="1"/>
        <v>300000</v>
      </c>
      <c r="U115" s="208"/>
    </row>
    <row r="116" spans="2:21" x14ac:dyDescent="0.3">
      <c r="B116" s="227"/>
      <c r="C116" s="227"/>
      <c r="D116" s="227"/>
      <c r="E116" s="227"/>
      <c r="F116" s="204" t="s">
        <v>112</v>
      </c>
      <c r="G116" s="205">
        <v>100000</v>
      </c>
      <c r="H116" s="227"/>
      <c r="I116" s="205" t="s">
        <v>159</v>
      </c>
      <c r="J116" s="205">
        <v>100000</v>
      </c>
      <c r="K116" s="227"/>
      <c r="L116" s="255" t="s">
        <v>226</v>
      </c>
      <c r="M116" s="214">
        <v>0</v>
      </c>
      <c r="N116" s="227"/>
      <c r="O116" s="207" t="s">
        <v>1207</v>
      </c>
      <c r="P116" s="207">
        <v>100000</v>
      </c>
      <c r="Q116" s="227"/>
      <c r="R116" s="207" t="s">
        <v>1354</v>
      </c>
      <c r="S116" s="262">
        <v>0</v>
      </c>
      <c r="T116" s="205">
        <f t="shared" si="1"/>
        <v>300000</v>
      </c>
      <c r="U116" s="208"/>
    </row>
    <row r="117" spans="2:21" x14ac:dyDescent="0.3">
      <c r="B117" s="227"/>
      <c r="C117" s="227"/>
      <c r="D117" s="227"/>
      <c r="E117" s="227"/>
      <c r="F117" s="204" t="s">
        <v>113</v>
      </c>
      <c r="G117" s="205">
        <v>100000</v>
      </c>
      <c r="H117" s="227"/>
      <c r="I117" s="205" t="s">
        <v>159</v>
      </c>
      <c r="J117" s="205">
        <v>100000</v>
      </c>
      <c r="K117" s="227"/>
      <c r="L117" s="255" t="s">
        <v>226</v>
      </c>
      <c r="M117" s="214">
        <v>0</v>
      </c>
      <c r="N117" s="227"/>
      <c r="O117" s="207" t="s">
        <v>1207</v>
      </c>
      <c r="P117" s="207">
        <v>100000</v>
      </c>
      <c r="Q117" s="227"/>
      <c r="R117" s="207" t="s">
        <v>1354</v>
      </c>
      <c r="S117" s="262">
        <v>0</v>
      </c>
      <c r="T117" s="205">
        <f t="shared" si="1"/>
        <v>300000</v>
      </c>
      <c r="U117" s="208"/>
    </row>
    <row r="118" spans="2:21" x14ac:dyDescent="0.3">
      <c r="B118" s="227"/>
      <c r="C118" s="227"/>
      <c r="D118" s="227"/>
      <c r="E118" s="227"/>
      <c r="F118" s="204" t="s">
        <v>116</v>
      </c>
      <c r="G118" s="205">
        <v>100000</v>
      </c>
      <c r="H118" s="227"/>
      <c r="I118" s="205" t="s">
        <v>159</v>
      </c>
      <c r="J118" s="205">
        <v>100000</v>
      </c>
      <c r="K118" s="227"/>
      <c r="L118" s="255" t="s">
        <v>226</v>
      </c>
      <c r="M118" s="205">
        <v>0</v>
      </c>
      <c r="N118" s="227"/>
      <c r="O118" s="207" t="s">
        <v>1207</v>
      </c>
      <c r="P118" s="207">
        <v>100000</v>
      </c>
      <c r="Q118" s="227"/>
      <c r="R118" s="207" t="s">
        <v>1354</v>
      </c>
      <c r="S118" s="207">
        <v>0</v>
      </c>
      <c r="T118" s="205">
        <f t="shared" si="1"/>
        <v>300000</v>
      </c>
      <c r="U118" s="208"/>
    </row>
    <row r="119" spans="2:21" x14ac:dyDescent="0.3">
      <c r="B119" s="227"/>
      <c r="C119" s="227"/>
      <c r="D119" s="227"/>
      <c r="E119" s="227"/>
      <c r="F119" s="204" t="s">
        <v>109</v>
      </c>
      <c r="G119" s="205">
        <v>100000</v>
      </c>
      <c r="H119" s="227"/>
      <c r="I119" s="205" t="s">
        <v>381</v>
      </c>
      <c r="J119" s="205">
        <v>100000</v>
      </c>
      <c r="K119" s="227"/>
      <c r="L119" s="255" t="s">
        <v>226</v>
      </c>
      <c r="M119" s="214">
        <v>0</v>
      </c>
      <c r="N119" s="227"/>
      <c r="O119" s="207" t="s">
        <v>1207</v>
      </c>
      <c r="P119" s="207">
        <v>100000</v>
      </c>
      <c r="Q119" s="227"/>
      <c r="R119" s="207" t="s">
        <v>1354</v>
      </c>
      <c r="S119" s="262">
        <v>0</v>
      </c>
      <c r="T119" s="205">
        <f t="shared" si="1"/>
        <v>300000</v>
      </c>
      <c r="U119" s="208"/>
    </row>
    <row r="120" spans="2:21" x14ac:dyDescent="0.3">
      <c r="B120" s="227"/>
      <c r="C120" s="227"/>
      <c r="D120" s="227"/>
      <c r="E120" s="227"/>
      <c r="F120" s="204" t="s">
        <v>1351</v>
      </c>
      <c r="G120" s="205">
        <v>100000</v>
      </c>
      <c r="H120" s="227"/>
      <c r="I120" s="205" t="s">
        <v>381</v>
      </c>
      <c r="J120" s="205">
        <v>100000</v>
      </c>
      <c r="K120" s="227"/>
      <c r="L120" s="255" t="s">
        <v>226</v>
      </c>
      <c r="M120" s="214">
        <v>0</v>
      </c>
      <c r="N120" s="227"/>
      <c r="O120" s="207" t="s">
        <v>1207</v>
      </c>
      <c r="P120" s="207">
        <v>100000</v>
      </c>
      <c r="Q120" s="227"/>
      <c r="R120" s="207" t="s">
        <v>1354</v>
      </c>
      <c r="S120" s="262">
        <v>0</v>
      </c>
      <c r="T120" s="205">
        <f t="shared" si="1"/>
        <v>300000</v>
      </c>
      <c r="U120" s="208"/>
    </row>
    <row r="121" spans="2:21" x14ac:dyDescent="0.3">
      <c r="B121" s="227"/>
      <c r="C121" s="227"/>
      <c r="D121" s="227"/>
      <c r="E121" s="227"/>
      <c r="F121" s="204" t="s">
        <v>112</v>
      </c>
      <c r="G121" s="205">
        <v>100000</v>
      </c>
      <c r="H121" s="227"/>
      <c r="I121" s="205" t="s">
        <v>381</v>
      </c>
      <c r="J121" s="205">
        <v>100000</v>
      </c>
      <c r="K121" s="227"/>
      <c r="L121" s="255" t="s">
        <v>226</v>
      </c>
      <c r="M121" s="214">
        <v>0</v>
      </c>
      <c r="N121" s="227"/>
      <c r="O121" s="207" t="s">
        <v>1207</v>
      </c>
      <c r="P121" s="207">
        <v>100000</v>
      </c>
      <c r="Q121" s="227"/>
      <c r="R121" s="207" t="s">
        <v>1354</v>
      </c>
      <c r="S121" s="262">
        <v>0</v>
      </c>
      <c r="T121" s="205">
        <f t="shared" si="1"/>
        <v>300000</v>
      </c>
      <c r="U121" s="208"/>
    </row>
    <row r="122" spans="2:21" x14ac:dyDescent="0.3">
      <c r="B122" s="227"/>
      <c r="C122" s="227"/>
      <c r="D122" s="227"/>
      <c r="E122" s="227"/>
      <c r="F122" s="204" t="s">
        <v>113</v>
      </c>
      <c r="G122" s="205">
        <v>100000</v>
      </c>
      <c r="H122" s="227"/>
      <c r="I122" s="205" t="s">
        <v>381</v>
      </c>
      <c r="J122" s="205">
        <v>100000</v>
      </c>
      <c r="K122" s="227"/>
      <c r="L122" s="255" t="s">
        <v>226</v>
      </c>
      <c r="M122" s="214">
        <v>0</v>
      </c>
      <c r="N122" s="227"/>
      <c r="O122" s="207" t="s">
        <v>1207</v>
      </c>
      <c r="P122" s="207">
        <v>100000</v>
      </c>
      <c r="Q122" s="227"/>
      <c r="R122" s="207" t="s">
        <v>1354</v>
      </c>
      <c r="S122" s="262">
        <v>0</v>
      </c>
      <c r="T122" s="205">
        <f t="shared" si="1"/>
        <v>300000</v>
      </c>
      <c r="U122" s="208"/>
    </row>
    <row r="123" spans="2:21" x14ac:dyDescent="0.3">
      <c r="B123" s="227"/>
      <c r="C123" s="227"/>
      <c r="D123" s="227"/>
      <c r="E123" s="227"/>
      <c r="F123" s="204" t="s">
        <v>116</v>
      </c>
      <c r="G123" s="205">
        <v>100000</v>
      </c>
      <c r="H123" s="227"/>
      <c r="I123" s="205" t="s">
        <v>381</v>
      </c>
      <c r="J123" s="205">
        <v>100000</v>
      </c>
      <c r="K123" s="227"/>
      <c r="L123" s="255" t="s">
        <v>226</v>
      </c>
      <c r="M123" s="205">
        <v>0</v>
      </c>
      <c r="N123" s="227"/>
      <c r="O123" s="207" t="s">
        <v>1207</v>
      </c>
      <c r="P123" s="207">
        <v>100000</v>
      </c>
      <c r="Q123" s="227"/>
      <c r="R123" s="207" t="s">
        <v>1354</v>
      </c>
      <c r="S123" s="207">
        <v>0</v>
      </c>
      <c r="T123" s="205">
        <f t="shared" si="1"/>
        <v>300000</v>
      </c>
      <c r="U123" s="208"/>
    </row>
    <row r="124" spans="2:21" x14ac:dyDescent="0.3">
      <c r="B124" s="212"/>
      <c r="C124" s="213"/>
      <c r="D124" s="213"/>
      <c r="E124" s="230"/>
      <c r="F124" s="214" t="s">
        <v>155</v>
      </c>
      <c r="G124" s="214">
        <v>100000</v>
      </c>
      <c r="H124" s="230"/>
      <c r="I124" s="216" t="s">
        <v>159</v>
      </c>
      <c r="J124" s="215">
        <v>50000</v>
      </c>
      <c r="K124" s="230"/>
      <c r="L124" s="253" t="s">
        <v>226</v>
      </c>
      <c r="M124" s="214">
        <v>0</v>
      </c>
      <c r="N124" s="230"/>
      <c r="O124" s="252" t="s">
        <v>1207</v>
      </c>
      <c r="P124" s="261">
        <v>100000</v>
      </c>
      <c r="Q124" s="230"/>
      <c r="R124" s="252" t="s">
        <v>1354</v>
      </c>
      <c r="S124" s="261">
        <v>0</v>
      </c>
      <c r="T124" s="249">
        <f t="shared" si="1"/>
        <v>250000</v>
      </c>
      <c r="U124" s="217"/>
    </row>
    <row r="125" spans="2:21" x14ac:dyDescent="0.3">
      <c r="B125" s="212"/>
      <c r="C125" s="213"/>
      <c r="D125" s="213"/>
      <c r="E125" s="230"/>
      <c r="F125" s="214" t="s">
        <v>155</v>
      </c>
      <c r="G125" s="214">
        <v>100000</v>
      </c>
      <c r="H125" s="230"/>
      <c r="I125" s="216" t="s">
        <v>381</v>
      </c>
      <c r="J125" s="215">
        <v>50000</v>
      </c>
      <c r="K125" s="230"/>
      <c r="L125" s="253" t="s">
        <v>226</v>
      </c>
      <c r="M125" s="214">
        <v>0</v>
      </c>
      <c r="N125" s="230"/>
      <c r="O125" s="252" t="s">
        <v>1207</v>
      </c>
      <c r="P125" s="261">
        <v>100000</v>
      </c>
      <c r="Q125" s="230"/>
      <c r="R125" s="252" t="s">
        <v>1354</v>
      </c>
      <c r="S125" s="261">
        <v>0</v>
      </c>
      <c r="T125" s="249">
        <f t="shared" si="1"/>
        <v>250000</v>
      </c>
      <c r="U125" s="217"/>
    </row>
    <row r="126" spans="2:21" x14ac:dyDescent="0.3">
      <c r="B126" s="227"/>
      <c r="C126" s="227"/>
      <c r="D126" s="227"/>
      <c r="E126" s="227"/>
      <c r="F126" s="206" t="s">
        <v>1288</v>
      </c>
      <c r="G126" s="205">
        <v>100000</v>
      </c>
      <c r="H126" s="227"/>
      <c r="I126" s="205" t="s">
        <v>159</v>
      </c>
      <c r="J126" s="205">
        <v>100000</v>
      </c>
      <c r="K126" s="227"/>
      <c r="L126" s="255" t="s">
        <v>226</v>
      </c>
      <c r="M126" s="214">
        <v>0</v>
      </c>
      <c r="N126" s="227"/>
      <c r="O126" s="207" t="s">
        <v>1207</v>
      </c>
      <c r="P126" s="207">
        <v>100000</v>
      </c>
      <c r="Q126" s="227"/>
      <c r="R126" s="207" t="s">
        <v>1354</v>
      </c>
      <c r="S126" s="262">
        <v>0</v>
      </c>
      <c r="T126" s="205">
        <f t="shared" si="1"/>
        <v>300000</v>
      </c>
      <c r="U126" s="208"/>
    </row>
    <row r="127" spans="2:21" x14ac:dyDescent="0.3">
      <c r="B127" s="227"/>
      <c r="C127" s="227"/>
      <c r="D127" s="227"/>
      <c r="E127" s="227"/>
      <c r="F127" s="206" t="s">
        <v>1288</v>
      </c>
      <c r="G127" s="205">
        <v>100000</v>
      </c>
      <c r="H127" s="227"/>
      <c r="I127" s="205" t="s">
        <v>381</v>
      </c>
      <c r="J127" s="205">
        <v>100000</v>
      </c>
      <c r="K127" s="227"/>
      <c r="L127" s="255" t="s">
        <v>226</v>
      </c>
      <c r="M127" s="214">
        <v>0</v>
      </c>
      <c r="N127" s="227"/>
      <c r="O127" s="207" t="s">
        <v>1207</v>
      </c>
      <c r="P127" s="207">
        <v>100000</v>
      </c>
      <c r="Q127" s="227"/>
      <c r="R127" s="207" t="s">
        <v>1354</v>
      </c>
      <c r="S127" s="262">
        <v>0</v>
      </c>
      <c r="T127" s="205">
        <f t="shared" si="1"/>
        <v>300000</v>
      </c>
      <c r="U127" s="208"/>
    </row>
    <row r="128" spans="2:21" x14ac:dyDescent="0.3">
      <c r="B128" s="227"/>
      <c r="C128" s="227"/>
      <c r="D128" s="227"/>
      <c r="E128" s="227"/>
      <c r="F128" s="206" t="s">
        <v>1260</v>
      </c>
      <c r="G128" s="205">
        <v>100000</v>
      </c>
      <c r="H128" s="227"/>
      <c r="I128" s="205" t="s">
        <v>159</v>
      </c>
      <c r="J128" s="205">
        <v>100000</v>
      </c>
      <c r="K128" s="227"/>
      <c r="L128" s="255" t="s">
        <v>226</v>
      </c>
      <c r="M128" s="214">
        <v>0</v>
      </c>
      <c r="N128" s="227"/>
      <c r="O128" s="207" t="s">
        <v>1207</v>
      </c>
      <c r="P128" s="207">
        <v>100000</v>
      </c>
      <c r="Q128" s="227"/>
      <c r="R128" s="207" t="s">
        <v>1354</v>
      </c>
      <c r="S128" s="262">
        <v>0</v>
      </c>
      <c r="T128" s="205">
        <f t="shared" si="1"/>
        <v>300000</v>
      </c>
      <c r="U128" s="208"/>
    </row>
    <row r="129" spans="2:21" x14ac:dyDescent="0.3">
      <c r="B129" s="227"/>
      <c r="C129" s="227"/>
      <c r="D129" s="227"/>
      <c r="E129" s="227"/>
      <c r="F129" s="206" t="s">
        <v>1260</v>
      </c>
      <c r="G129" s="205">
        <v>100000</v>
      </c>
      <c r="H129" s="227"/>
      <c r="I129" s="205" t="s">
        <v>381</v>
      </c>
      <c r="J129" s="205">
        <v>100000</v>
      </c>
      <c r="K129" s="227"/>
      <c r="L129" s="255" t="s">
        <v>226</v>
      </c>
      <c r="M129" s="214">
        <v>0</v>
      </c>
      <c r="N129" s="227"/>
      <c r="O129" s="207" t="s">
        <v>1207</v>
      </c>
      <c r="P129" s="207">
        <v>100000</v>
      </c>
      <c r="Q129" s="227"/>
      <c r="R129" s="207" t="s">
        <v>1354</v>
      </c>
      <c r="S129" s="262">
        <v>0</v>
      </c>
      <c r="T129" s="205">
        <f t="shared" si="1"/>
        <v>300000</v>
      </c>
      <c r="U129" s="208"/>
    </row>
    <row r="130" spans="2:21" x14ac:dyDescent="0.3">
      <c r="B130" s="227"/>
      <c r="C130" s="227"/>
      <c r="D130" s="227"/>
      <c r="E130" s="227"/>
      <c r="F130" s="204" t="s">
        <v>109</v>
      </c>
      <c r="G130" s="205">
        <v>100000</v>
      </c>
      <c r="H130" s="227"/>
      <c r="I130" s="207" t="s">
        <v>1311</v>
      </c>
      <c r="J130" s="205">
        <v>100000</v>
      </c>
      <c r="K130" s="227"/>
      <c r="L130" s="255" t="s">
        <v>226</v>
      </c>
      <c r="M130" s="214">
        <v>0</v>
      </c>
      <c r="N130" s="227"/>
      <c r="O130" s="207" t="s">
        <v>1207</v>
      </c>
      <c r="P130" s="207">
        <v>100000</v>
      </c>
      <c r="Q130" s="227"/>
      <c r="R130" s="207" t="s">
        <v>1354</v>
      </c>
      <c r="S130" s="262">
        <v>0</v>
      </c>
      <c r="T130" s="205">
        <f t="shared" si="1"/>
        <v>300000</v>
      </c>
      <c r="U130" s="208"/>
    </row>
    <row r="131" spans="2:21" x14ac:dyDescent="0.3">
      <c r="B131" s="227"/>
      <c r="C131" s="227"/>
      <c r="D131" s="227"/>
      <c r="E131" s="227"/>
      <c r="F131" s="204" t="s">
        <v>1351</v>
      </c>
      <c r="G131" s="205">
        <v>100000</v>
      </c>
      <c r="H131" s="227"/>
      <c r="I131" s="207" t="s">
        <v>1311</v>
      </c>
      <c r="J131" s="205">
        <v>100000</v>
      </c>
      <c r="K131" s="227"/>
      <c r="L131" s="255" t="s">
        <v>226</v>
      </c>
      <c r="M131" s="214">
        <v>0</v>
      </c>
      <c r="N131" s="227"/>
      <c r="O131" s="207" t="s">
        <v>1207</v>
      </c>
      <c r="P131" s="207">
        <v>100000</v>
      </c>
      <c r="Q131" s="227"/>
      <c r="R131" s="207" t="s">
        <v>1354</v>
      </c>
      <c r="S131" s="262">
        <v>0</v>
      </c>
      <c r="T131" s="205">
        <f t="shared" si="1"/>
        <v>300000</v>
      </c>
      <c r="U131" s="208"/>
    </row>
    <row r="132" spans="2:21" x14ac:dyDescent="0.3">
      <c r="B132" s="227"/>
      <c r="C132" s="227"/>
      <c r="D132" s="227"/>
      <c r="E132" s="227"/>
      <c r="F132" s="204" t="s">
        <v>112</v>
      </c>
      <c r="G132" s="205">
        <v>100000</v>
      </c>
      <c r="H132" s="227"/>
      <c r="I132" s="207" t="s">
        <v>1311</v>
      </c>
      <c r="J132" s="205">
        <v>100000</v>
      </c>
      <c r="K132" s="227"/>
      <c r="L132" s="255" t="s">
        <v>226</v>
      </c>
      <c r="M132" s="214">
        <v>0</v>
      </c>
      <c r="N132" s="227"/>
      <c r="O132" s="207" t="s">
        <v>1207</v>
      </c>
      <c r="P132" s="207">
        <v>100000</v>
      </c>
      <c r="Q132" s="227"/>
      <c r="R132" s="207" t="s">
        <v>1354</v>
      </c>
      <c r="S132" s="262">
        <v>0</v>
      </c>
      <c r="T132" s="205">
        <f t="shared" si="1"/>
        <v>300000</v>
      </c>
      <c r="U132" s="208"/>
    </row>
    <row r="133" spans="2:21" x14ac:dyDescent="0.3">
      <c r="B133" s="227"/>
      <c r="C133" s="227"/>
      <c r="D133" s="227"/>
      <c r="E133" s="227"/>
      <c r="F133" s="204" t="s">
        <v>113</v>
      </c>
      <c r="G133" s="205">
        <v>100000</v>
      </c>
      <c r="H133" s="227"/>
      <c r="I133" s="207" t="s">
        <v>1311</v>
      </c>
      <c r="J133" s="205">
        <v>100000</v>
      </c>
      <c r="K133" s="227"/>
      <c r="L133" s="255" t="s">
        <v>226</v>
      </c>
      <c r="M133" s="214">
        <v>0</v>
      </c>
      <c r="N133" s="227"/>
      <c r="O133" s="207" t="s">
        <v>1207</v>
      </c>
      <c r="P133" s="207">
        <v>100000</v>
      </c>
      <c r="Q133" s="227"/>
      <c r="R133" s="207" t="s">
        <v>1354</v>
      </c>
      <c r="S133" s="262">
        <v>0</v>
      </c>
      <c r="T133" s="205">
        <f t="shared" si="1"/>
        <v>300000</v>
      </c>
      <c r="U133" s="208"/>
    </row>
    <row r="134" spans="2:21" x14ac:dyDescent="0.3">
      <c r="B134" s="227"/>
      <c r="C134" s="227"/>
      <c r="D134" s="227"/>
      <c r="E134" s="227"/>
      <c r="F134" s="204" t="s">
        <v>116</v>
      </c>
      <c r="G134" s="205">
        <v>100000</v>
      </c>
      <c r="H134" s="227"/>
      <c r="I134" s="207" t="s">
        <v>1311</v>
      </c>
      <c r="J134" s="205">
        <v>100000</v>
      </c>
      <c r="K134" s="227"/>
      <c r="L134" s="255" t="s">
        <v>226</v>
      </c>
      <c r="M134" s="205">
        <v>0</v>
      </c>
      <c r="N134" s="227"/>
      <c r="O134" s="207" t="s">
        <v>1207</v>
      </c>
      <c r="P134" s="207">
        <v>100000</v>
      </c>
      <c r="Q134" s="227"/>
      <c r="R134" s="207" t="s">
        <v>1354</v>
      </c>
      <c r="S134" s="207">
        <v>0</v>
      </c>
      <c r="T134" s="205">
        <f t="shared" si="1"/>
        <v>300000</v>
      </c>
      <c r="U134" s="208"/>
    </row>
    <row r="135" spans="2:21" x14ac:dyDescent="0.3">
      <c r="B135" s="212"/>
      <c r="C135" s="213"/>
      <c r="D135" s="213"/>
      <c r="E135" s="230"/>
      <c r="F135" s="214" t="s">
        <v>155</v>
      </c>
      <c r="G135" s="214">
        <v>100000</v>
      </c>
      <c r="H135" s="230"/>
      <c r="I135" s="252" t="s">
        <v>1311</v>
      </c>
      <c r="J135" s="215">
        <v>50000</v>
      </c>
      <c r="K135" s="230"/>
      <c r="L135" s="253" t="s">
        <v>226</v>
      </c>
      <c r="M135" s="214">
        <v>0</v>
      </c>
      <c r="N135" s="230"/>
      <c r="O135" s="252" t="s">
        <v>1207</v>
      </c>
      <c r="P135" s="261">
        <v>100000</v>
      </c>
      <c r="Q135" s="230"/>
      <c r="R135" s="252" t="s">
        <v>1354</v>
      </c>
      <c r="S135" s="261">
        <v>0</v>
      </c>
      <c r="T135" s="249">
        <f t="shared" si="1"/>
        <v>250000</v>
      </c>
      <c r="U135" s="217"/>
    </row>
    <row r="136" spans="2:21" x14ac:dyDescent="0.3">
      <c r="B136" s="227"/>
      <c r="C136" s="227"/>
      <c r="D136" s="227"/>
      <c r="E136" s="227"/>
      <c r="F136" s="206" t="s">
        <v>1288</v>
      </c>
      <c r="G136" s="205">
        <v>100000</v>
      </c>
      <c r="H136" s="227"/>
      <c r="I136" s="207" t="s">
        <v>1311</v>
      </c>
      <c r="J136" s="205">
        <v>100000</v>
      </c>
      <c r="K136" s="227"/>
      <c r="L136" s="255" t="s">
        <v>226</v>
      </c>
      <c r="M136" s="214">
        <v>0</v>
      </c>
      <c r="N136" s="227"/>
      <c r="O136" s="207" t="s">
        <v>1207</v>
      </c>
      <c r="P136" s="207">
        <v>100000</v>
      </c>
      <c r="Q136" s="227"/>
      <c r="R136" s="207" t="s">
        <v>1354</v>
      </c>
      <c r="S136" s="262">
        <v>0</v>
      </c>
      <c r="T136" s="205">
        <f t="shared" ref="T136:T199" si="2">SUM(J136,G136,M136,P136,S136)</f>
        <v>300000</v>
      </c>
      <c r="U136" s="208"/>
    </row>
    <row r="137" spans="2:21" x14ac:dyDescent="0.3">
      <c r="B137" s="227"/>
      <c r="C137" s="227"/>
      <c r="D137" s="227"/>
      <c r="E137" s="227"/>
      <c r="F137" s="257" t="s">
        <v>1260</v>
      </c>
      <c r="G137" s="210">
        <v>100000</v>
      </c>
      <c r="H137" s="227"/>
      <c r="I137" s="260" t="s">
        <v>1311</v>
      </c>
      <c r="J137" s="210">
        <v>100000</v>
      </c>
      <c r="K137" s="227"/>
      <c r="L137" s="256" t="s">
        <v>226</v>
      </c>
      <c r="M137" s="258">
        <v>0</v>
      </c>
      <c r="N137" s="227"/>
      <c r="O137" s="260" t="s">
        <v>1207</v>
      </c>
      <c r="P137" s="260">
        <v>100000</v>
      </c>
      <c r="Q137" s="227"/>
      <c r="R137" s="260" t="s">
        <v>1354</v>
      </c>
      <c r="S137" s="263">
        <v>0</v>
      </c>
      <c r="T137" s="210">
        <f t="shared" si="2"/>
        <v>300000</v>
      </c>
      <c r="U137" s="208"/>
    </row>
    <row r="138" spans="2:21" x14ac:dyDescent="0.3">
      <c r="B138" s="227"/>
      <c r="C138" s="227"/>
      <c r="D138" s="227"/>
      <c r="E138" s="227"/>
      <c r="F138" s="206" t="s">
        <v>1269</v>
      </c>
      <c r="G138" s="205">
        <v>100000</v>
      </c>
      <c r="H138" s="227"/>
      <c r="I138" s="207" t="s">
        <v>1313</v>
      </c>
      <c r="J138" s="205">
        <v>100000</v>
      </c>
      <c r="K138" s="227"/>
      <c r="L138" s="255" t="s">
        <v>226</v>
      </c>
      <c r="M138" s="205">
        <v>0</v>
      </c>
      <c r="N138" s="227"/>
      <c r="O138" s="207" t="s">
        <v>1242</v>
      </c>
      <c r="P138" s="207">
        <v>30000</v>
      </c>
      <c r="Q138" s="227"/>
      <c r="R138" s="207" t="s">
        <v>1354</v>
      </c>
      <c r="S138" s="207">
        <v>0</v>
      </c>
      <c r="T138" s="205">
        <f t="shared" si="2"/>
        <v>230000</v>
      </c>
      <c r="U138" s="208"/>
    </row>
    <row r="139" spans="2:21" x14ac:dyDescent="0.3">
      <c r="B139" s="227"/>
      <c r="C139" s="227"/>
      <c r="D139" s="227"/>
      <c r="E139" s="227"/>
      <c r="F139" s="204" t="s">
        <v>109</v>
      </c>
      <c r="G139" s="205">
        <v>100000</v>
      </c>
      <c r="H139" s="227"/>
      <c r="I139" s="205" t="s">
        <v>159</v>
      </c>
      <c r="J139" s="205">
        <v>100000</v>
      </c>
      <c r="K139" s="227"/>
      <c r="L139" s="255" t="s">
        <v>226</v>
      </c>
      <c r="M139" s="214">
        <v>0</v>
      </c>
      <c r="N139" s="227"/>
      <c r="O139" s="207" t="s">
        <v>1242</v>
      </c>
      <c r="P139" s="207">
        <v>30000</v>
      </c>
      <c r="Q139" s="227"/>
      <c r="R139" s="207" t="s">
        <v>1354</v>
      </c>
      <c r="S139" s="262">
        <v>0</v>
      </c>
      <c r="T139" s="205">
        <f t="shared" si="2"/>
        <v>230000</v>
      </c>
      <c r="U139" s="208"/>
    </row>
    <row r="140" spans="2:21" x14ac:dyDescent="0.3">
      <c r="B140" s="227"/>
      <c r="C140" s="227"/>
      <c r="D140" s="227"/>
      <c r="E140" s="227"/>
      <c r="F140" s="204" t="s">
        <v>1351</v>
      </c>
      <c r="G140" s="205">
        <v>100000</v>
      </c>
      <c r="H140" s="227"/>
      <c r="I140" s="205" t="s">
        <v>159</v>
      </c>
      <c r="J140" s="205">
        <v>100000</v>
      </c>
      <c r="K140" s="227"/>
      <c r="L140" s="255" t="s">
        <v>226</v>
      </c>
      <c r="M140" s="214">
        <v>0</v>
      </c>
      <c r="N140" s="227"/>
      <c r="O140" s="207" t="s">
        <v>1242</v>
      </c>
      <c r="P140" s="207">
        <v>30000</v>
      </c>
      <c r="Q140" s="227"/>
      <c r="R140" s="207" t="s">
        <v>1354</v>
      </c>
      <c r="S140" s="262">
        <v>0</v>
      </c>
      <c r="T140" s="205">
        <f t="shared" si="2"/>
        <v>230000</v>
      </c>
      <c r="U140" s="208"/>
    </row>
    <row r="141" spans="2:21" x14ac:dyDescent="0.3">
      <c r="B141" s="227"/>
      <c r="C141" s="227"/>
      <c r="D141" s="227"/>
      <c r="E141" s="227"/>
      <c r="F141" s="204" t="s">
        <v>112</v>
      </c>
      <c r="G141" s="205">
        <v>100000</v>
      </c>
      <c r="H141" s="227"/>
      <c r="I141" s="205" t="s">
        <v>159</v>
      </c>
      <c r="J141" s="205">
        <v>100000</v>
      </c>
      <c r="K141" s="227"/>
      <c r="L141" s="255" t="s">
        <v>226</v>
      </c>
      <c r="M141" s="214">
        <v>0</v>
      </c>
      <c r="N141" s="227"/>
      <c r="O141" s="207" t="s">
        <v>1242</v>
      </c>
      <c r="P141" s="207">
        <v>30000</v>
      </c>
      <c r="Q141" s="227"/>
      <c r="R141" s="207" t="s">
        <v>1354</v>
      </c>
      <c r="S141" s="262">
        <v>0</v>
      </c>
      <c r="T141" s="205">
        <f t="shared" si="2"/>
        <v>230000</v>
      </c>
      <c r="U141" s="208"/>
    </row>
    <row r="142" spans="2:21" x14ac:dyDescent="0.3">
      <c r="B142" s="227"/>
      <c r="C142" s="227"/>
      <c r="D142" s="227"/>
      <c r="E142" s="227"/>
      <c r="F142" s="204" t="s">
        <v>113</v>
      </c>
      <c r="G142" s="205">
        <v>100000</v>
      </c>
      <c r="H142" s="227"/>
      <c r="I142" s="205" t="s">
        <v>159</v>
      </c>
      <c r="J142" s="205">
        <v>100000</v>
      </c>
      <c r="K142" s="227"/>
      <c r="L142" s="255" t="s">
        <v>226</v>
      </c>
      <c r="M142" s="214">
        <v>0</v>
      </c>
      <c r="N142" s="227"/>
      <c r="O142" s="207" t="s">
        <v>1242</v>
      </c>
      <c r="P142" s="207">
        <v>30000</v>
      </c>
      <c r="Q142" s="227"/>
      <c r="R142" s="207" t="s">
        <v>1354</v>
      </c>
      <c r="S142" s="262">
        <v>0</v>
      </c>
      <c r="T142" s="205">
        <f t="shared" si="2"/>
        <v>230000</v>
      </c>
      <c r="U142" s="208"/>
    </row>
    <row r="143" spans="2:21" x14ac:dyDescent="0.3">
      <c r="B143" s="227"/>
      <c r="C143" s="227"/>
      <c r="D143" s="227"/>
      <c r="E143" s="227"/>
      <c r="F143" s="204" t="s">
        <v>116</v>
      </c>
      <c r="G143" s="205">
        <v>100000</v>
      </c>
      <c r="H143" s="227"/>
      <c r="I143" s="205" t="s">
        <v>159</v>
      </c>
      <c r="J143" s="205">
        <v>100000</v>
      </c>
      <c r="K143" s="227"/>
      <c r="L143" s="255" t="s">
        <v>226</v>
      </c>
      <c r="M143" s="205">
        <v>0</v>
      </c>
      <c r="N143" s="227"/>
      <c r="O143" s="207" t="s">
        <v>1242</v>
      </c>
      <c r="P143" s="207">
        <v>30000</v>
      </c>
      <c r="Q143" s="227"/>
      <c r="R143" s="207" t="s">
        <v>1354</v>
      </c>
      <c r="S143" s="207">
        <v>0</v>
      </c>
      <c r="T143" s="205">
        <f t="shared" si="2"/>
        <v>230000</v>
      </c>
      <c r="U143" s="208"/>
    </row>
    <row r="144" spans="2:21" x14ac:dyDescent="0.3">
      <c r="B144" s="227"/>
      <c r="C144" s="227"/>
      <c r="D144" s="227"/>
      <c r="E144" s="227"/>
      <c r="F144" s="204" t="s">
        <v>109</v>
      </c>
      <c r="G144" s="205">
        <v>100000</v>
      </c>
      <c r="H144" s="227"/>
      <c r="I144" s="205" t="s">
        <v>381</v>
      </c>
      <c r="J144" s="205">
        <v>100000</v>
      </c>
      <c r="K144" s="227"/>
      <c r="L144" s="255" t="s">
        <v>226</v>
      </c>
      <c r="M144" s="214">
        <v>0</v>
      </c>
      <c r="N144" s="227"/>
      <c r="O144" s="207" t="s">
        <v>1242</v>
      </c>
      <c r="P144" s="207">
        <v>30000</v>
      </c>
      <c r="Q144" s="227"/>
      <c r="R144" s="207" t="s">
        <v>1354</v>
      </c>
      <c r="S144" s="262">
        <v>0</v>
      </c>
      <c r="T144" s="205">
        <f t="shared" si="2"/>
        <v>230000</v>
      </c>
      <c r="U144" s="208"/>
    </row>
    <row r="145" spans="2:21" x14ac:dyDescent="0.3">
      <c r="B145" s="227"/>
      <c r="C145" s="227"/>
      <c r="D145" s="227"/>
      <c r="E145" s="227"/>
      <c r="F145" s="204" t="s">
        <v>1351</v>
      </c>
      <c r="G145" s="205">
        <v>100000</v>
      </c>
      <c r="H145" s="227"/>
      <c r="I145" s="205" t="s">
        <v>381</v>
      </c>
      <c r="J145" s="205">
        <v>100000</v>
      </c>
      <c r="K145" s="227"/>
      <c r="L145" s="255" t="s">
        <v>226</v>
      </c>
      <c r="M145" s="214">
        <v>0</v>
      </c>
      <c r="N145" s="227"/>
      <c r="O145" s="207" t="s">
        <v>1242</v>
      </c>
      <c r="P145" s="207">
        <v>30000</v>
      </c>
      <c r="Q145" s="227"/>
      <c r="R145" s="207" t="s">
        <v>1354</v>
      </c>
      <c r="S145" s="262">
        <v>0</v>
      </c>
      <c r="T145" s="205">
        <f t="shared" si="2"/>
        <v>230000</v>
      </c>
      <c r="U145" s="208"/>
    </row>
    <row r="146" spans="2:21" x14ac:dyDescent="0.3">
      <c r="B146" s="227"/>
      <c r="C146" s="227"/>
      <c r="D146" s="227"/>
      <c r="E146" s="227"/>
      <c r="F146" s="204" t="s">
        <v>112</v>
      </c>
      <c r="G146" s="205">
        <v>100000</v>
      </c>
      <c r="H146" s="227"/>
      <c r="I146" s="205" t="s">
        <v>381</v>
      </c>
      <c r="J146" s="205">
        <v>100000</v>
      </c>
      <c r="K146" s="227"/>
      <c r="L146" s="255" t="s">
        <v>226</v>
      </c>
      <c r="M146" s="214">
        <v>0</v>
      </c>
      <c r="N146" s="227"/>
      <c r="O146" s="207" t="s">
        <v>1242</v>
      </c>
      <c r="P146" s="207">
        <v>30000</v>
      </c>
      <c r="Q146" s="227"/>
      <c r="R146" s="207" t="s">
        <v>1354</v>
      </c>
      <c r="S146" s="262">
        <v>0</v>
      </c>
      <c r="T146" s="205">
        <f t="shared" si="2"/>
        <v>230000</v>
      </c>
      <c r="U146" s="208"/>
    </row>
    <row r="147" spans="2:21" x14ac:dyDescent="0.3">
      <c r="B147" s="227"/>
      <c r="C147" s="227"/>
      <c r="D147" s="227"/>
      <c r="E147" s="227"/>
      <c r="F147" s="204" t="s">
        <v>113</v>
      </c>
      <c r="G147" s="205">
        <v>100000</v>
      </c>
      <c r="H147" s="227"/>
      <c r="I147" s="205" t="s">
        <v>381</v>
      </c>
      <c r="J147" s="205">
        <v>100000</v>
      </c>
      <c r="K147" s="227"/>
      <c r="L147" s="255" t="s">
        <v>226</v>
      </c>
      <c r="M147" s="214">
        <v>0</v>
      </c>
      <c r="N147" s="227"/>
      <c r="O147" s="207" t="s">
        <v>1242</v>
      </c>
      <c r="P147" s="207">
        <v>30000</v>
      </c>
      <c r="Q147" s="227"/>
      <c r="R147" s="207" t="s">
        <v>1354</v>
      </c>
      <c r="S147" s="262">
        <v>0</v>
      </c>
      <c r="T147" s="205">
        <f t="shared" si="2"/>
        <v>230000</v>
      </c>
      <c r="U147" s="208"/>
    </row>
    <row r="148" spans="2:21" x14ac:dyDescent="0.3">
      <c r="B148" s="227"/>
      <c r="C148" s="227"/>
      <c r="D148" s="227"/>
      <c r="E148" s="227"/>
      <c r="F148" s="204" t="s">
        <v>116</v>
      </c>
      <c r="G148" s="205">
        <v>100000</v>
      </c>
      <c r="H148" s="227"/>
      <c r="I148" s="205" t="s">
        <v>381</v>
      </c>
      <c r="J148" s="205">
        <v>100000</v>
      </c>
      <c r="K148" s="227"/>
      <c r="L148" s="255" t="s">
        <v>226</v>
      </c>
      <c r="M148" s="205">
        <v>0</v>
      </c>
      <c r="N148" s="227"/>
      <c r="O148" s="207" t="s">
        <v>1242</v>
      </c>
      <c r="P148" s="207">
        <v>30000</v>
      </c>
      <c r="Q148" s="227"/>
      <c r="R148" s="207" t="s">
        <v>1354</v>
      </c>
      <c r="S148" s="207">
        <v>0</v>
      </c>
      <c r="T148" s="205">
        <f t="shared" si="2"/>
        <v>230000</v>
      </c>
      <c r="U148" s="208"/>
    </row>
    <row r="149" spans="2:21" x14ac:dyDescent="0.3">
      <c r="B149" s="212"/>
      <c r="C149" s="213"/>
      <c r="D149" s="213"/>
      <c r="E149" s="230"/>
      <c r="F149" s="214" t="s">
        <v>155</v>
      </c>
      <c r="G149" s="214">
        <v>100000</v>
      </c>
      <c r="H149" s="230"/>
      <c r="I149" s="216" t="s">
        <v>159</v>
      </c>
      <c r="J149" s="215">
        <v>50000</v>
      </c>
      <c r="K149" s="230"/>
      <c r="L149" s="253" t="s">
        <v>226</v>
      </c>
      <c r="M149" s="214">
        <v>0</v>
      </c>
      <c r="N149" s="230"/>
      <c r="O149" s="252" t="s">
        <v>1242</v>
      </c>
      <c r="P149" s="261">
        <v>30000</v>
      </c>
      <c r="Q149" s="230"/>
      <c r="R149" s="252" t="s">
        <v>1354</v>
      </c>
      <c r="S149" s="261">
        <v>0</v>
      </c>
      <c r="T149" s="249">
        <f t="shared" si="2"/>
        <v>180000</v>
      </c>
      <c r="U149" s="217"/>
    </row>
    <row r="150" spans="2:21" x14ac:dyDescent="0.3">
      <c r="B150" s="212"/>
      <c r="C150" s="213"/>
      <c r="D150" s="213"/>
      <c r="E150" s="230"/>
      <c r="F150" s="214" t="s">
        <v>155</v>
      </c>
      <c r="G150" s="214">
        <v>100000</v>
      </c>
      <c r="H150" s="230"/>
      <c r="I150" s="216" t="s">
        <v>381</v>
      </c>
      <c r="J150" s="215">
        <v>50000</v>
      </c>
      <c r="K150" s="230"/>
      <c r="L150" s="253" t="s">
        <v>226</v>
      </c>
      <c r="M150" s="214">
        <v>0</v>
      </c>
      <c r="N150" s="230"/>
      <c r="O150" s="252" t="s">
        <v>1242</v>
      </c>
      <c r="P150" s="261">
        <v>30000</v>
      </c>
      <c r="Q150" s="230"/>
      <c r="R150" s="252" t="s">
        <v>1354</v>
      </c>
      <c r="S150" s="261">
        <v>0</v>
      </c>
      <c r="T150" s="249">
        <f t="shared" si="2"/>
        <v>180000</v>
      </c>
      <c r="U150" s="217"/>
    </row>
    <row r="151" spans="2:21" x14ac:dyDescent="0.3">
      <c r="B151" s="227"/>
      <c r="C151" s="227"/>
      <c r="D151" s="227"/>
      <c r="E151" s="227"/>
      <c r="F151" s="206" t="s">
        <v>1288</v>
      </c>
      <c r="G151" s="205">
        <v>100000</v>
      </c>
      <c r="H151" s="227"/>
      <c r="I151" s="205" t="s">
        <v>159</v>
      </c>
      <c r="J151" s="205">
        <v>100000</v>
      </c>
      <c r="K151" s="227"/>
      <c r="L151" s="255" t="s">
        <v>226</v>
      </c>
      <c r="M151" s="214">
        <v>0</v>
      </c>
      <c r="N151" s="227"/>
      <c r="O151" s="207" t="s">
        <v>1242</v>
      </c>
      <c r="P151" s="207">
        <v>30000</v>
      </c>
      <c r="Q151" s="227"/>
      <c r="R151" s="207" t="s">
        <v>1354</v>
      </c>
      <c r="S151" s="262">
        <v>0</v>
      </c>
      <c r="T151" s="205">
        <f t="shared" si="2"/>
        <v>230000</v>
      </c>
      <c r="U151" s="208"/>
    </row>
    <row r="152" spans="2:21" x14ac:dyDescent="0.3">
      <c r="B152" s="227"/>
      <c r="C152" s="227"/>
      <c r="D152" s="227"/>
      <c r="E152" s="227"/>
      <c r="F152" s="206" t="s">
        <v>1288</v>
      </c>
      <c r="G152" s="205">
        <v>100000</v>
      </c>
      <c r="H152" s="227"/>
      <c r="I152" s="205" t="s">
        <v>381</v>
      </c>
      <c r="J152" s="205">
        <v>100000</v>
      </c>
      <c r="K152" s="227"/>
      <c r="L152" s="255" t="s">
        <v>226</v>
      </c>
      <c r="M152" s="214">
        <v>0</v>
      </c>
      <c r="N152" s="227"/>
      <c r="O152" s="207" t="s">
        <v>1242</v>
      </c>
      <c r="P152" s="207">
        <v>30000</v>
      </c>
      <c r="Q152" s="227"/>
      <c r="R152" s="207" t="s">
        <v>1354</v>
      </c>
      <c r="S152" s="262">
        <v>0</v>
      </c>
      <c r="T152" s="205">
        <f t="shared" si="2"/>
        <v>230000</v>
      </c>
      <c r="U152" s="208"/>
    </row>
    <row r="153" spans="2:21" x14ac:dyDescent="0.3">
      <c r="B153" s="227"/>
      <c r="C153" s="227"/>
      <c r="D153" s="227"/>
      <c r="E153" s="227"/>
      <c r="F153" s="206" t="s">
        <v>1260</v>
      </c>
      <c r="G153" s="205">
        <v>100000</v>
      </c>
      <c r="H153" s="227"/>
      <c r="I153" s="205" t="s">
        <v>159</v>
      </c>
      <c r="J153" s="205">
        <v>100000</v>
      </c>
      <c r="K153" s="227"/>
      <c r="L153" s="255" t="s">
        <v>226</v>
      </c>
      <c r="M153" s="214">
        <v>0</v>
      </c>
      <c r="N153" s="227"/>
      <c r="O153" s="207" t="s">
        <v>1242</v>
      </c>
      <c r="P153" s="207">
        <v>30000</v>
      </c>
      <c r="Q153" s="227"/>
      <c r="R153" s="207" t="s">
        <v>1354</v>
      </c>
      <c r="S153" s="262">
        <v>0</v>
      </c>
      <c r="T153" s="205">
        <f t="shared" si="2"/>
        <v>230000</v>
      </c>
      <c r="U153" s="208"/>
    </row>
    <row r="154" spans="2:21" x14ac:dyDescent="0.3">
      <c r="B154" s="227"/>
      <c r="C154" s="227"/>
      <c r="D154" s="227"/>
      <c r="E154" s="227"/>
      <c r="F154" s="206" t="s">
        <v>1260</v>
      </c>
      <c r="G154" s="205">
        <v>100000</v>
      </c>
      <c r="H154" s="227"/>
      <c r="I154" s="205" t="s">
        <v>381</v>
      </c>
      <c r="J154" s="205">
        <v>100000</v>
      </c>
      <c r="K154" s="227"/>
      <c r="L154" s="255" t="s">
        <v>226</v>
      </c>
      <c r="M154" s="214">
        <v>0</v>
      </c>
      <c r="N154" s="227"/>
      <c r="O154" s="207" t="s">
        <v>1242</v>
      </c>
      <c r="P154" s="207">
        <v>30000</v>
      </c>
      <c r="Q154" s="227"/>
      <c r="R154" s="207" t="s">
        <v>1354</v>
      </c>
      <c r="S154" s="262">
        <v>0</v>
      </c>
      <c r="T154" s="205">
        <f t="shared" si="2"/>
        <v>230000</v>
      </c>
      <c r="U154" s="208"/>
    </row>
    <row r="155" spans="2:21" x14ac:dyDescent="0.3">
      <c r="B155" s="227"/>
      <c r="C155" s="227"/>
      <c r="D155" s="227"/>
      <c r="E155" s="227"/>
      <c r="F155" s="204" t="s">
        <v>109</v>
      </c>
      <c r="G155" s="205">
        <v>100000</v>
      </c>
      <c r="H155" s="227"/>
      <c r="I155" s="207" t="s">
        <v>1311</v>
      </c>
      <c r="J155" s="205">
        <v>100000</v>
      </c>
      <c r="K155" s="227"/>
      <c r="L155" s="255" t="s">
        <v>226</v>
      </c>
      <c r="M155" s="214">
        <v>0</v>
      </c>
      <c r="N155" s="227"/>
      <c r="O155" s="207" t="s">
        <v>1242</v>
      </c>
      <c r="P155" s="207">
        <v>30000</v>
      </c>
      <c r="Q155" s="227"/>
      <c r="R155" s="207" t="s">
        <v>1354</v>
      </c>
      <c r="S155" s="262">
        <v>0</v>
      </c>
      <c r="T155" s="205">
        <f t="shared" si="2"/>
        <v>230000</v>
      </c>
      <c r="U155" s="208"/>
    </row>
    <row r="156" spans="2:21" x14ac:dyDescent="0.3">
      <c r="B156" s="227"/>
      <c r="C156" s="227"/>
      <c r="D156" s="227"/>
      <c r="E156" s="227"/>
      <c r="F156" s="204" t="s">
        <v>1351</v>
      </c>
      <c r="G156" s="205">
        <v>100000</v>
      </c>
      <c r="H156" s="227"/>
      <c r="I156" s="207" t="s">
        <v>1311</v>
      </c>
      <c r="J156" s="205">
        <v>100000</v>
      </c>
      <c r="K156" s="227"/>
      <c r="L156" s="255" t="s">
        <v>226</v>
      </c>
      <c r="M156" s="214">
        <v>0</v>
      </c>
      <c r="N156" s="227"/>
      <c r="O156" s="207" t="s">
        <v>1242</v>
      </c>
      <c r="P156" s="207">
        <v>30000</v>
      </c>
      <c r="Q156" s="227"/>
      <c r="R156" s="207" t="s">
        <v>1354</v>
      </c>
      <c r="S156" s="262">
        <v>0</v>
      </c>
      <c r="T156" s="205">
        <f t="shared" si="2"/>
        <v>230000</v>
      </c>
      <c r="U156" s="208"/>
    </row>
    <row r="157" spans="2:21" x14ac:dyDescent="0.3">
      <c r="B157" s="227"/>
      <c r="C157" s="227"/>
      <c r="D157" s="227"/>
      <c r="E157" s="227"/>
      <c r="F157" s="204" t="s">
        <v>112</v>
      </c>
      <c r="G157" s="205">
        <v>100000</v>
      </c>
      <c r="H157" s="227"/>
      <c r="I157" s="207" t="s">
        <v>1311</v>
      </c>
      <c r="J157" s="205">
        <v>100000</v>
      </c>
      <c r="K157" s="227"/>
      <c r="L157" s="255" t="s">
        <v>226</v>
      </c>
      <c r="M157" s="214">
        <v>0</v>
      </c>
      <c r="N157" s="227"/>
      <c r="O157" s="207" t="s">
        <v>1242</v>
      </c>
      <c r="P157" s="207">
        <v>30000</v>
      </c>
      <c r="Q157" s="227"/>
      <c r="R157" s="207" t="s">
        <v>1354</v>
      </c>
      <c r="S157" s="262">
        <v>0</v>
      </c>
      <c r="T157" s="205">
        <f t="shared" si="2"/>
        <v>230000</v>
      </c>
      <c r="U157" s="208"/>
    </row>
    <row r="158" spans="2:21" x14ac:dyDescent="0.3">
      <c r="B158" s="227"/>
      <c r="C158" s="227"/>
      <c r="D158" s="227"/>
      <c r="E158" s="227"/>
      <c r="F158" s="204" t="s">
        <v>113</v>
      </c>
      <c r="G158" s="205">
        <v>100000</v>
      </c>
      <c r="H158" s="227"/>
      <c r="I158" s="207" t="s">
        <v>1311</v>
      </c>
      <c r="J158" s="205">
        <v>100000</v>
      </c>
      <c r="K158" s="227"/>
      <c r="L158" s="255" t="s">
        <v>226</v>
      </c>
      <c r="M158" s="214">
        <v>0</v>
      </c>
      <c r="N158" s="227"/>
      <c r="O158" s="207" t="s">
        <v>1242</v>
      </c>
      <c r="P158" s="207">
        <v>30000</v>
      </c>
      <c r="Q158" s="227"/>
      <c r="R158" s="207" t="s">
        <v>1354</v>
      </c>
      <c r="S158" s="262">
        <v>0</v>
      </c>
      <c r="T158" s="205">
        <f t="shared" si="2"/>
        <v>230000</v>
      </c>
      <c r="U158" s="208"/>
    </row>
    <row r="159" spans="2:21" x14ac:dyDescent="0.3">
      <c r="B159" s="227"/>
      <c r="C159" s="227"/>
      <c r="D159" s="227"/>
      <c r="E159" s="227"/>
      <c r="F159" s="204" t="s">
        <v>116</v>
      </c>
      <c r="G159" s="205">
        <v>100000</v>
      </c>
      <c r="H159" s="227"/>
      <c r="I159" s="207" t="s">
        <v>1311</v>
      </c>
      <c r="J159" s="205">
        <v>100000</v>
      </c>
      <c r="K159" s="227"/>
      <c r="L159" s="255" t="s">
        <v>226</v>
      </c>
      <c r="M159" s="205">
        <v>0</v>
      </c>
      <c r="N159" s="227"/>
      <c r="O159" s="207" t="s">
        <v>1242</v>
      </c>
      <c r="P159" s="207">
        <v>30000</v>
      </c>
      <c r="Q159" s="227"/>
      <c r="R159" s="207" t="s">
        <v>1354</v>
      </c>
      <c r="S159" s="207">
        <v>0</v>
      </c>
      <c r="T159" s="205">
        <f t="shared" si="2"/>
        <v>230000</v>
      </c>
      <c r="U159" s="208"/>
    </row>
    <row r="160" spans="2:21" x14ac:dyDescent="0.3">
      <c r="B160" s="212"/>
      <c r="C160" s="213"/>
      <c r="D160" s="213"/>
      <c r="E160" s="230"/>
      <c r="F160" s="214" t="s">
        <v>155</v>
      </c>
      <c r="G160" s="214">
        <v>100000</v>
      </c>
      <c r="H160" s="230"/>
      <c r="I160" s="252" t="s">
        <v>1311</v>
      </c>
      <c r="J160" s="215">
        <v>50000</v>
      </c>
      <c r="K160" s="230"/>
      <c r="L160" s="253" t="s">
        <v>226</v>
      </c>
      <c r="M160" s="214">
        <v>0</v>
      </c>
      <c r="N160" s="230"/>
      <c r="O160" s="252" t="s">
        <v>1242</v>
      </c>
      <c r="P160" s="261">
        <v>30000</v>
      </c>
      <c r="Q160" s="230"/>
      <c r="R160" s="252" t="s">
        <v>1354</v>
      </c>
      <c r="S160" s="261">
        <v>0</v>
      </c>
      <c r="T160" s="249">
        <f t="shared" si="2"/>
        <v>180000</v>
      </c>
      <c r="U160" s="217"/>
    </row>
    <row r="161" spans="2:21" x14ac:dyDescent="0.3">
      <c r="B161" s="227"/>
      <c r="C161" s="227"/>
      <c r="D161" s="227"/>
      <c r="E161" s="227"/>
      <c r="F161" s="206" t="s">
        <v>1288</v>
      </c>
      <c r="G161" s="205">
        <v>100000</v>
      </c>
      <c r="H161" s="227"/>
      <c r="I161" s="207" t="s">
        <v>1311</v>
      </c>
      <c r="J161" s="205">
        <v>100000</v>
      </c>
      <c r="K161" s="227"/>
      <c r="L161" s="255" t="s">
        <v>226</v>
      </c>
      <c r="M161" s="214">
        <v>0</v>
      </c>
      <c r="N161" s="227"/>
      <c r="O161" s="207" t="s">
        <v>1242</v>
      </c>
      <c r="P161" s="207">
        <v>30000</v>
      </c>
      <c r="Q161" s="227"/>
      <c r="R161" s="207" t="s">
        <v>1354</v>
      </c>
      <c r="S161" s="262">
        <v>0</v>
      </c>
      <c r="T161" s="205">
        <f t="shared" si="2"/>
        <v>230000</v>
      </c>
      <c r="U161" s="208"/>
    </row>
    <row r="162" spans="2:21" x14ac:dyDescent="0.3">
      <c r="B162" s="227"/>
      <c r="C162" s="227"/>
      <c r="D162" s="227"/>
      <c r="E162" s="227"/>
      <c r="F162" s="206" t="s">
        <v>1260</v>
      </c>
      <c r="G162" s="205">
        <v>100000</v>
      </c>
      <c r="H162" s="227"/>
      <c r="I162" s="207" t="s">
        <v>1311</v>
      </c>
      <c r="J162" s="205">
        <v>100000</v>
      </c>
      <c r="K162" s="227"/>
      <c r="L162" s="255" t="s">
        <v>226</v>
      </c>
      <c r="M162" s="214">
        <v>0</v>
      </c>
      <c r="N162" s="227"/>
      <c r="O162" s="207" t="s">
        <v>1242</v>
      </c>
      <c r="P162" s="207">
        <v>30000</v>
      </c>
      <c r="Q162" s="227"/>
      <c r="R162" s="207" t="s">
        <v>1354</v>
      </c>
      <c r="S162" s="262">
        <v>0</v>
      </c>
      <c r="T162" s="205">
        <f t="shared" si="2"/>
        <v>230000</v>
      </c>
      <c r="U162" s="208"/>
    </row>
    <row r="163" spans="2:21" x14ac:dyDescent="0.3">
      <c r="B163" s="227"/>
      <c r="C163" s="227"/>
      <c r="D163" s="227"/>
      <c r="E163" s="227"/>
      <c r="F163" s="206" t="s">
        <v>1269</v>
      </c>
      <c r="G163" s="205">
        <v>100000</v>
      </c>
      <c r="H163" s="227"/>
      <c r="I163" s="207" t="s">
        <v>1313</v>
      </c>
      <c r="J163" s="205">
        <v>100000</v>
      </c>
      <c r="K163" s="227"/>
      <c r="L163" s="255" t="s">
        <v>226</v>
      </c>
      <c r="M163" s="205">
        <v>0</v>
      </c>
      <c r="N163" s="227"/>
      <c r="O163" s="207" t="s">
        <v>1243</v>
      </c>
      <c r="P163" s="207">
        <v>30000</v>
      </c>
      <c r="Q163" s="227"/>
      <c r="R163" s="207" t="s">
        <v>1354</v>
      </c>
      <c r="S163" s="207">
        <v>0</v>
      </c>
      <c r="T163" s="205">
        <f t="shared" si="2"/>
        <v>230000</v>
      </c>
      <c r="U163" s="208"/>
    </row>
    <row r="164" spans="2:21" x14ac:dyDescent="0.3">
      <c r="B164" s="227"/>
      <c r="C164" s="227"/>
      <c r="D164" s="227"/>
      <c r="E164" s="227"/>
      <c r="F164" s="204" t="s">
        <v>109</v>
      </c>
      <c r="G164" s="205">
        <v>100000</v>
      </c>
      <c r="H164" s="227"/>
      <c r="I164" s="205" t="s">
        <v>159</v>
      </c>
      <c r="J164" s="205">
        <v>100000</v>
      </c>
      <c r="K164" s="227"/>
      <c r="L164" s="255" t="s">
        <v>226</v>
      </c>
      <c r="M164" s="214">
        <v>0</v>
      </c>
      <c r="N164" s="227"/>
      <c r="O164" s="207" t="s">
        <v>1243</v>
      </c>
      <c r="P164" s="207">
        <v>30000</v>
      </c>
      <c r="Q164" s="227"/>
      <c r="R164" s="207" t="s">
        <v>1354</v>
      </c>
      <c r="S164" s="262">
        <v>0</v>
      </c>
      <c r="T164" s="205">
        <f t="shared" si="2"/>
        <v>230000</v>
      </c>
      <c r="U164" s="208"/>
    </row>
    <row r="165" spans="2:21" x14ac:dyDescent="0.3">
      <c r="B165" s="227"/>
      <c r="C165" s="227"/>
      <c r="D165" s="227"/>
      <c r="E165" s="227"/>
      <c r="F165" s="204" t="s">
        <v>1351</v>
      </c>
      <c r="G165" s="205">
        <v>100000</v>
      </c>
      <c r="H165" s="227"/>
      <c r="I165" s="205" t="s">
        <v>159</v>
      </c>
      <c r="J165" s="205">
        <v>100000</v>
      </c>
      <c r="K165" s="227"/>
      <c r="L165" s="255" t="s">
        <v>226</v>
      </c>
      <c r="M165" s="214">
        <v>0</v>
      </c>
      <c r="N165" s="227"/>
      <c r="O165" s="207" t="s">
        <v>1243</v>
      </c>
      <c r="P165" s="207">
        <v>30000</v>
      </c>
      <c r="Q165" s="227"/>
      <c r="R165" s="207" t="s">
        <v>1354</v>
      </c>
      <c r="S165" s="262">
        <v>0</v>
      </c>
      <c r="T165" s="205">
        <f t="shared" si="2"/>
        <v>230000</v>
      </c>
      <c r="U165" s="208"/>
    </row>
    <row r="166" spans="2:21" x14ac:dyDescent="0.3">
      <c r="B166" s="227"/>
      <c r="C166" s="227"/>
      <c r="D166" s="227"/>
      <c r="E166" s="227"/>
      <c r="F166" s="204" t="s">
        <v>112</v>
      </c>
      <c r="G166" s="205">
        <v>100000</v>
      </c>
      <c r="H166" s="227"/>
      <c r="I166" s="205" t="s">
        <v>159</v>
      </c>
      <c r="J166" s="205">
        <v>100000</v>
      </c>
      <c r="K166" s="227"/>
      <c r="L166" s="255" t="s">
        <v>226</v>
      </c>
      <c r="M166" s="214">
        <v>0</v>
      </c>
      <c r="N166" s="227"/>
      <c r="O166" s="207" t="s">
        <v>1243</v>
      </c>
      <c r="P166" s="207">
        <v>30000</v>
      </c>
      <c r="Q166" s="227"/>
      <c r="R166" s="207" t="s">
        <v>1354</v>
      </c>
      <c r="S166" s="262">
        <v>0</v>
      </c>
      <c r="T166" s="205">
        <f t="shared" si="2"/>
        <v>230000</v>
      </c>
      <c r="U166" s="208"/>
    </row>
    <row r="167" spans="2:21" x14ac:dyDescent="0.3">
      <c r="B167" s="227"/>
      <c r="C167" s="227"/>
      <c r="D167" s="227"/>
      <c r="E167" s="227"/>
      <c r="F167" s="204" t="s">
        <v>113</v>
      </c>
      <c r="G167" s="205">
        <v>100000</v>
      </c>
      <c r="H167" s="227"/>
      <c r="I167" s="205" t="s">
        <v>159</v>
      </c>
      <c r="J167" s="205">
        <v>100000</v>
      </c>
      <c r="K167" s="227"/>
      <c r="L167" s="255" t="s">
        <v>226</v>
      </c>
      <c r="M167" s="214">
        <v>0</v>
      </c>
      <c r="N167" s="227"/>
      <c r="O167" s="207" t="s">
        <v>1243</v>
      </c>
      <c r="P167" s="207">
        <v>30000</v>
      </c>
      <c r="Q167" s="227"/>
      <c r="R167" s="207" t="s">
        <v>1354</v>
      </c>
      <c r="S167" s="262">
        <v>0</v>
      </c>
      <c r="T167" s="205">
        <f t="shared" si="2"/>
        <v>230000</v>
      </c>
      <c r="U167" s="208"/>
    </row>
    <row r="168" spans="2:21" x14ac:dyDescent="0.3">
      <c r="B168" s="227"/>
      <c r="C168" s="227"/>
      <c r="D168" s="227"/>
      <c r="E168" s="227"/>
      <c r="F168" s="204" t="s">
        <v>116</v>
      </c>
      <c r="G168" s="205">
        <v>100000</v>
      </c>
      <c r="H168" s="227"/>
      <c r="I168" s="205" t="s">
        <v>159</v>
      </c>
      <c r="J168" s="205">
        <v>100000</v>
      </c>
      <c r="K168" s="227"/>
      <c r="L168" s="255" t="s">
        <v>226</v>
      </c>
      <c r="M168" s="205">
        <v>0</v>
      </c>
      <c r="N168" s="227"/>
      <c r="O168" s="207" t="s">
        <v>1243</v>
      </c>
      <c r="P168" s="207">
        <v>30000</v>
      </c>
      <c r="Q168" s="227"/>
      <c r="R168" s="207" t="s">
        <v>1354</v>
      </c>
      <c r="S168" s="207">
        <v>0</v>
      </c>
      <c r="T168" s="205">
        <f t="shared" si="2"/>
        <v>230000</v>
      </c>
      <c r="U168" s="208"/>
    </row>
    <row r="169" spans="2:21" x14ac:dyDescent="0.3">
      <c r="B169" s="227"/>
      <c r="C169" s="227"/>
      <c r="D169" s="227"/>
      <c r="E169" s="227"/>
      <c r="F169" s="204" t="s">
        <v>109</v>
      </c>
      <c r="G169" s="205">
        <v>100000</v>
      </c>
      <c r="H169" s="227"/>
      <c r="I169" s="205" t="s">
        <v>381</v>
      </c>
      <c r="J169" s="205">
        <v>100000</v>
      </c>
      <c r="K169" s="227"/>
      <c r="L169" s="255" t="s">
        <v>226</v>
      </c>
      <c r="M169" s="214">
        <v>0</v>
      </c>
      <c r="N169" s="227"/>
      <c r="O169" s="207" t="s">
        <v>1243</v>
      </c>
      <c r="P169" s="207">
        <v>30000</v>
      </c>
      <c r="Q169" s="227"/>
      <c r="R169" s="207" t="s">
        <v>1354</v>
      </c>
      <c r="S169" s="262">
        <v>0</v>
      </c>
      <c r="T169" s="205">
        <f t="shared" si="2"/>
        <v>230000</v>
      </c>
      <c r="U169" s="208"/>
    </row>
    <row r="170" spans="2:21" x14ac:dyDescent="0.3">
      <c r="B170" s="227"/>
      <c r="C170" s="227"/>
      <c r="D170" s="227"/>
      <c r="E170" s="227"/>
      <c r="F170" s="204" t="s">
        <v>1351</v>
      </c>
      <c r="G170" s="205">
        <v>100000</v>
      </c>
      <c r="H170" s="227"/>
      <c r="I170" s="205" t="s">
        <v>381</v>
      </c>
      <c r="J170" s="205">
        <v>100000</v>
      </c>
      <c r="K170" s="227"/>
      <c r="L170" s="255" t="s">
        <v>226</v>
      </c>
      <c r="M170" s="214">
        <v>0</v>
      </c>
      <c r="N170" s="227"/>
      <c r="O170" s="207" t="s">
        <v>1243</v>
      </c>
      <c r="P170" s="207">
        <v>30000</v>
      </c>
      <c r="Q170" s="227"/>
      <c r="R170" s="207" t="s">
        <v>1354</v>
      </c>
      <c r="S170" s="262">
        <v>0</v>
      </c>
      <c r="T170" s="205">
        <f t="shared" si="2"/>
        <v>230000</v>
      </c>
      <c r="U170" s="208"/>
    </row>
    <row r="171" spans="2:21" x14ac:dyDescent="0.3">
      <c r="B171" s="227"/>
      <c r="C171" s="227"/>
      <c r="D171" s="227"/>
      <c r="E171" s="227"/>
      <c r="F171" s="204" t="s">
        <v>112</v>
      </c>
      <c r="G171" s="205">
        <v>100000</v>
      </c>
      <c r="H171" s="227"/>
      <c r="I171" s="205" t="s">
        <v>381</v>
      </c>
      <c r="J171" s="205">
        <v>100000</v>
      </c>
      <c r="K171" s="227"/>
      <c r="L171" s="255" t="s">
        <v>226</v>
      </c>
      <c r="M171" s="214">
        <v>0</v>
      </c>
      <c r="N171" s="227"/>
      <c r="O171" s="207" t="s">
        <v>1243</v>
      </c>
      <c r="P171" s="207">
        <v>30000</v>
      </c>
      <c r="Q171" s="227"/>
      <c r="R171" s="207" t="s">
        <v>1354</v>
      </c>
      <c r="S171" s="262">
        <v>0</v>
      </c>
      <c r="T171" s="205">
        <f t="shared" si="2"/>
        <v>230000</v>
      </c>
      <c r="U171" s="208"/>
    </row>
    <row r="172" spans="2:21" x14ac:dyDescent="0.3">
      <c r="B172" s="227"/>
      <c r="C172" s="227"/>
      <c r="D172" s="227"/>
      <c r="E172" s="227"/>
      <c r="F172" s="204" t="s">
        <v>113</v>
      </c>
      <c r="G172" s="205">
        <v>100000</v>
      </c>
      <c r="H172" s="227"/>
      <c r="I172" s="205" t="s">
        <v>381</v>
      </c>
      <c r="J172" s="205">
        <v>100000</v>
      </c>
      <c r="K172" s="227"/>
      <c r="L172" s="255" t="s">
        <v>226</v>
      </c>
      <c r="M172" s="214">
        <v>0</v>
      </c>
      <c r="N172" s="227"/>
      <c r="O172" s="207" t="s">
        <v>1243</v>
      </c>
      <c r="P172" s="207">
        <v>30000</v>
      </c>
      <c r="Q172" s="227"/>
      <c r="R172" s="207" t="s">
        <v>1354</v>
      </c>
      <c r="S172" s="262">
        <v>0</v>
      </c>
      <c r="T172" s="205">
        <f t="shared" si="2"/>
        <v>230000</v>
      </c>
      <c r="U172" s="208"/>
    </row>
    <row r="173" spans="2:21" x14ac:dyDescent="0.3">
      <c r="B173" s="227"/>
      <c r="C173" s="227"/>
      <c r="D173" s="227"/>
      <c r="E173" s="227"/>
      <c r="F173" s="204" t="s">
        <v>116</v>
      </c>
      <c r="G173" s="205">
        <v>100000</v>
      </c>
      <c r="H173" s="227"/>
      <c r="I173" s="205" t="s">
        <v>381</v>
      </c>
      <c r="J173" s="205">
        <v>100000</v>
      </c>
      <c r="K173" s="227"/>
      <c r="L173" s="255" t="s">
        <v>226</v>
      </c>
      <c r="M173" s="205">
        <v>0</v>
      </c>
      <c r="N173" s="227"/>
      <c r="O173" s="207" t="s">
        <v>1243</v>
      </c>
      <c r="P173" s="207">
        <v>30000</v>
      </c>
      <c r="Q173" s="227"/>
      <c r="R173" s="207" t="s">
        <v>1354</v>
      </c>
      <c r="S173" s="207">
        <v>0</v>
      </c>
      <c r="T173" s="205">
        <f t="shared" si="2"/>
        <v>230000</v>
      </c>
      <c r="U173" s="208"/>
    </row>
    <row r="174" spans="2:21" x14ac:dyDescent="0.3">
      <c r="B174" s="212"/>
      <c r="C174" s="213"/>
      <c r="D174" s="213"/>
      <c r="E174" s="230"/>
      <c r="F174" s="214" t="s">
        <v>155</v>
      </c>
      <c r="G174" s="214">
        <v>100000</v>
      </c>
      <c r="H174" s="230"/>
      <c r="I174" s="216" t="s">
        <v>159</v>
      </c>
      <c r="J174" s="215">
        <v>50000</v>
      </c>
      <c r="K174" s="230"/>
      <c r="L174" s="253" t="s">
        <v>226</v>
      </c>
      <c r="M174" s="214">
        <v>0</v>
      </c>
      <c r="N174" s="230"/>
      <c r="O174" s="252" t="s">
        <v>1243</v>
      </c>
      <c r="P174" s="261">
        <v>30000</v>
      </c>
      <c r="Q174" s="230"/>
      <c r="R174" s="252" t="s">
        <v>1354</v>
      </c>
      <c r="S174" s="261">
        <v>0</v>
      </c>
      <c r="T174" s="249">
        <f t="shared" si="2"/>
        <v>180000</v>
      </c>
      <c r="U174" s="217"/>
    </row>
    <row r="175" spans="2:21" x14ac:dyDescent="0.3">
      <c r="B175" s="212"/>
      <c r="C175" s="213"/>
      <c r="D175" s="213"/>
      <c r="E175" s="230"/>
      <c r="F175" s="214" t="s">
        <v>155</v>
      </c>
      <c r="G175" s="214">
        <v>100000</v>
      </c>
      <c r="H175" s="230"/>
      <c r="I175" s="216" t="s">
        <v>381</v>
      </c>
      <c r="J175" s="215">
        <v>50000</v>
      </c>
      <c r="K175" s="230"/>
      <c r="L175" s="253" t="s">
        <v>226</v>
      </c>
      <c r="M175" s="214">
        <v>0</v>
      </c>
      <c r="N175" s="230"/>
      <c r="O175" s="252" t="s">
        <v>1243</v>
      </c>
      <c r="P175" s="261">
        <v>30000</v>
      </c>
      <c r="Q175" s="230"/>
      <c r="R175" s="252" t="s">
        <v>1354</v>
      </c>
      <c r="S175" s="261">
        <v>0</v>
      </c>
      <c r="T175" s="249">
        <f t="shared" si="2"/>
        <v>180000</v>
      </c>
      <c r="U175" s="217"/>
    </row>
    <row r="176" spans="2:21" x14ac:dyDescent="0.3">
      <c r="B176" s="227"/>
      <c r="C176" s="227"/>
      <c r="D176" s="227"/>
      <c r="E176" s="227"/>
      <c r="F176" s="206" t="s">
        <v>1288</v>
      </c>
      <c r="G176" s="205">
        <v>100000</v>
      </c>
      <c r="H176" s="227"/>
      <c r="I176" s="205" t="s">
        <v>159</v>
      </c>
      <c r="J176" s="205">
        <v>100000</v>
      </c>
      <c r="K176" s="227"/>
      <c r="L176" s="255" t="s">
        <v>226</v>
      </c>
      <c r="M176" s="214">
        <v>0</v>
      </c>
      <c r="N176" s="227"/>
      <c r="O176" s="207" t="s">
        <v>1243</v>
      </c>
      <c r="P176" s="207">
        <v>30000</v>
      </c>
      <c r="Q176" s="227"/>
      <c r="R176" s="207" t="s">
        <v>1354</v>
      </c>
      <c r="S176" s="262">
        <v>0</v>
      </c>
      <c r="T176" s="205">
        <f t="shared" si="2"/>
        <v>230000</v>
      </c>
      <c r="U176" s="208"/>
    </row>
    <row r="177" spans="2:21" x14ac:dyDescent="0.3">
      <c r="B177" s="227"/>
      <c r="C177" s="227"/>
      <c r="D177" s="227"/>
      <c r="E177" s="227"/>
      <c r="F177" s="206" t="s">
        <v>1288</v>
      </c>
      <c r="G177" s="205">
        <v>100000</v>
      </c>
      <c r="H177" s="227"/>
      <c r="I177" s="205" t="s">
        <v>381</v>
      </c>
      <c r="J177" s="205">
        <v>100000</v>
      </c>
      <c r="K177" s="227"/>
      <c r="L177" s="255" t="s">
        <v>226</v>
      </c>
      <c r="M177" s="214">
        <v>0</v>
      </c>
      <c r="N177" s="227"/>
      <c r="O177" s="207" t="s">
        <v>1243</v>
      </c>
      <c r="P177" s="207">
        <v>30000</v>
      </c>
      <c r="Q177" s="227"/>
      <c r="R177" s="207" t="s">
        <v>1354</v>
      </c>
      <c r="S177" s="262">
        <v>0</v>
      </c>
      <c r="T177" s="205">
        <f t="shared" si="2"/>
        <v>230000</v>
      </c>
      <c r="U177" s="208"/>
    </row>
    <row r="178" spans="2:21" x14ac:dyDescent="0.3">
      <c r="B178" s="227"/>
      <c r="C178" s="227"/>
      <c r="D178" s="227"/>
      <c r="E178" s="227"/>
      <c r="F178" s="206" t="s">
        <v>1260</v>
      </c>
      <c r="G178" s="205">
        <v>100000</v>
      </c>
      <c r="H178" s="227"/>
      <c r="I178" s="205" t="s">
        <v>159</v>
      </c>
      <c r="J178" s="205">
        <v>100000</v>
      </c>
      <c r="K178" s="227"/>
      <c r="L178" s="255" t="s">
        <v>226</v>
      </c>
      <c r="M178" s="214">
        <v>0</v>
      </c>
      <c r="N178" s="227"/>
      <c r="O178" s="207" t="s">
        <v>1243</v>
      </c>
      <c r="P178" s="207">
        <v>30000</v>
      </c>
      <c r="Q178" s="227"/>
      <c r="R178" s="207" t="s">
        <v>1354</v>
      </c>
      <c r="S178" s="262">
        <v>0</v>
      </c>
      <c r="T178" s="205">
        <f t="shared" si="2"/>
        <v>230000</v>
      </c>
      <c r="U178" s="208"/>
    </row>
    <row r="179" spans="2:21" x14ac:dyDescent="0.3">
      <c r="B179" s="227"/>
      <c r="C179" s="227"/>
      <c r="D179" s="227"/>
      <c r="E179" s="227"/>
      <c r="F179" s="206" t="s">
        <v>1260</v>
      </c>
      <c r="G179" s="205">
        <v>100000</v>
      </c>
      <c r="H179" s="227"/>
      <c r="I179" s="205" t="s">
        <v>381</v>
      </c>
      <c r="J179" s="205">
        <v>100000</v>
      </c>
      <c r="K179" s="227"/>
      <c r="L179" s="255" t="s">
        <v>226</v>
      </c>
      <c r="M179" s="214">
        <v>0</v>
      </c>
      <c r="N179" s="227"/>
      <c r="O179" s="207" t="s">
        <v>1243</v>
      </c>
      <c r="P179" s="207">
        <v>30000</v>
      </c>
      <c r="Q179" s="227"/>
      <c r="R179" s="207" t="s">
        <v>1354</v>
      </c>
      <c r="S179" s="262">
        <v>0</v>
      </c>
      <c r="T179" s="205">
        <f t="shared" si="2"/>
        <v>230000</v>
      </c>
      <c r="U179" s="208"/>
    </row>
    <row r="180" spans="2:21" x14ac:dyDescent="0.3">
      <c r="B180" s="227"/>
      <c r="C180" s="227"/>
      <c r="D180" s="227"/>
      <c r="E180" s="227"/>
      <c r="F180" s="204" t="s">
        <v>109</v>
      </c>
      <c r="G180" s="205">
        <v>100000</v>
      </c>
      <c r="H180" s="227"/>
      <c r="I180" s="207" t="s">
        <v>1311</v>
      </c>
      <c r="J180" s="205">
        <v>100000</v>
      </c>
      <c r="K180" s="227"/>
      <c r="L180" s="255" t="s">
        <v>226</v>
      </c>
      <c r="M180" s="214">
        <v>0</v>
      </c>
      <c r="N180" s="227"/>
      <c r="O180" s="207" t="s">
        <v>1243</v>
      </c>
      <c r="P180" s="207">
        <v>30000</v>
      </c>
      <c r="Q180" s="227"/>
      <c r="R180" s="207" t="s">
        <v>1354</v>
      </c>
      <c r="S180" s="262">
        <v>0</v>
      </c>
      <c r="T180" s="205">
        <f t="shared" si="2"/>
        <v>230000</v>
      </c>
      <c r="U180" s="208"/>
    </row>
    <row r="181" spans="2:21" x14ac:dyDescent="0.3">
      <c r="B181" s="227"/>
      <c r="C181" s="227"/>
      <c r="D181" s="227"/>
      <c r="E181" s="227"/>
      <c r="F181" s="204" t="s">
        <v>1351</v>
      </c>
      <c r="G181" s="205">
        <v>100000</v>
      </c>
      <c r="H181" s="227"/>
      <c r="I181" s="207" t="s">
        <v>1311</v>
      </c>
      <c r="J181" s="205">
        <v>100000</v>
      </c>
      <c r="K181" s="227"/>
      <c r="L181" s="255" t="s">
        <v>226</v>
      </c>
      <c r="M181" s="214">
        <v>0</v>
      </c>
      <c r="N181" s="227"/>
      <c r="O181" s="207" t="s">
        <v>1243</v>
      </c>
      <c r="P181" s="207">
        <v>30000</v>
      </c>
      <c r="Q181" s="227"/>
      <c r="R181" s="207" t="s">
        <v>1354</v>
      </c>
      <c r="S181" s="262">
        <v>0</v>
      </c>
      <c r="T181" s="205">
        <f t="shared" si="2"/>
        <v>230000</v>
      </c>
      <c r="U181" s="208"/>
    </row>
    <row r="182" spans="2:21" x14ac:dyDescent="0.3">
      <c r="B182" s="227"/>
      <c r="C182" s="227"/>
      <c r="D182" s="227"/>
      <c r="E182" s="227"/>
      <c r="F182" s="204" t="s">
        <v>112</v>
      </c>
      <c r="G182" s="205">
        <v>100000</v>
      </c>
      <c r="H182" s="227"/>
      <c r="I182" s="207" t="s">
        <v>1311</v>
      </c>
      <c r="J182" s="205">
        <v>100000</v>
      </c>
      <c r="K182" s="227"/>
      <c r="L182" s="255" t="s">
        <v>226</v>
      </c>
      <c r="M182" s="214">
        <v>0</v>
      </c>
      <c r="N182" s="227"/>
      <c r="O182" s="207" t="s">
        <v>1243</v>
      </c>
      <c r="P182" s="207">
        <v>30000</v>
      </c>
      <c r="Q182" s="227"/>
      <c r="R182" s="207" t="s">
        <v>1354</v>
      </c>
      <c r="S182" s="262">
        <v>0</v>
      </c>
      <c r="T182" s="205">
        <f t="shared" si="2"/>
        <v>230000</v>
      </c>
      <c r="U182" s="208"/>
    </row>
    <row r="183" spans="2:21" x14ac:dyDescent="0.3">
      <c r="B183" s="227"/>
      <c r="C183" s="227"/>
      <c r="D183" s="227"/>
      <c r="E183" s="227"/>
      <c r="F183" s="204" t="s">
        <v>113</v>
      </c>
      <c r="G183" s="205">
        <v>100000</v>
      </c>
      <c r="H183" s="227"/>
      <c r="I183" s="207" t="s">
        <v>1311</v>
      </c>
      <c r="J183" s="205">
        <v>100000</v>
      </c>
      <c r="K183" s="227"/>
      <c r="L183" s="255" t="s">
        <v>226</v>
      </c>
      <c r="M183" s="214">
        <v>0</v>
      </c>
      <c r="N183" s="227"/>
      <c r="O183" s="207" t="s">
        <v>1243</v>
      </c>
      <c r="P183" s="207">
        <v>30000</v>
      </c>
      <c r="Q183" s="227"/>
      <c r="R183" s="207" t="s">
        <v>1354</v>
      </c>
      <c r="S183" s="262">
        <v>0</v>
      </c>
      <c r="T183" s="205">
        <f t="shared" si="2"/>
        <v>230000</v>
      </c>
      <c r="U183" s="208"/>
    </row>
    <row r="184" spans="2:21" x14ac:dyDescent="0.3">
      <c r="B184" s="227"/>
      <c r="C184" s="227"/>
      <c r="D184" s="227"/>
      <c r="E184" s="227"/>
      <c r="F184" s="204" t="s">
        <v>116</v>
      </c>
      <c r="G184" s="205">
        <v>100000</v>
      </c>
      <c r="H184" s="227"/>
      <c r="I184" s="207" t="s">
        <v>1311</v>
      </c>
      <c r="J184" s="205">
        <v>100000</v>
      </c>
      <c r="K184" s="227"/>
      <c r="L184" s="255" t="s">
        <v>226</v>
      </c>
      <c r="M184" s="205">
        <v>0</v>
      </c>
      <c r="N184" s="227"/>
      <c r="O184" s="207" t="s">
        <v>1243</v>
      </c>
      <c r="P184" s="207">
        <v>30000</v>
      </c>
      <c r="Q184" s="227"/>
      <c r="R184" s="207" t="s">
        <v>1354</v>
      </c>
      <c r="S184" s="207">
        <v>0</v>
      </c>
      <c r="T184" s="205">
        <f t="shared" si="2"/>
        <v>230000</v>
      </c>
      <c r="U184" s="208"/>
    </row>
    <row r="185" spans="2:21" x14ac:dyDescent="0.3">
      <c r="B185" s="212"/>
      <c r="C185" s="213"/>
      <c r="D185" s="213"/>
      <c r="E185" s="230"/>
      <c r="F185" s="214" t="s">
        <v>155</v>
      </c>
      <c r="G185" s="214">
        <v>100000</v>
      </c>
      <c r="H185" s="230"/>
      <c r="I185" s="252" t="s">
        <v>1311</v>
      </c>
      <c r="J185" s="215">
        <v>50000</v>
      </c>
      <c r="K185" s="230"/>
      <c r="L185" s="253" t="s">
        <v>226</v>
      </c>
      <c r="M185" s="214">
        <v>0</v>
      </c>
      <c r="N185" s="230"/>
      <c r="O185" s="252" t="s">
        <v>1243</v>
      </c>
      <c r="P185" s="261">
        <v>30000</v>
      </c>
      <c r="Q185" s="230"/>
      <c r="R185" s="252" t="s">
        <v>1354</v>
      </c>
      <c r="S185" s="261">
        <v>0</v>
      </c>
      <c r="T185" s="249">
        <f t="shared" si="2"/>
        <v>180000</v>
      </c>
      <c r="U185" s="217"/>
    </row>
    <row r="186" spans="2:21" x14ac:dyDescent="0.3">
      <c r="B186" s="227"/>
      <c r="C186" s="227"/>
      <c r="D186" s="227"/>
      <c r="E186" s="227"/>
      <c r="F186" s="206" t="s">
        <v>1288</v>
      </c>
      <c r="G186" s="205">
        <v>100000</v>
      </c>
      <c r="H186" s="227"/>
      <c r="I186" s="207" t="s">
        <v>1311</v>
      </c>
      <c r="J186" s="205">
        <v>100000</v>
      </c>
      <c r="K186" s="227"/>
      <c r="L186" s="255" t="s">
        <v>226</v>
      </c>
      <c r="M186" s="214">
        <v>0</v>
      </c>
      <c r="N186" s="227"/>
      <c r="O186" s="207" t="s">
        <v>1243</v>
      </c>
      <c r="P186" s="207">
        <v>30000</v>
      </c>
      <c r="Q186" s="227"/>
      <c r="R186" s="207" t="s">
        <v>1354</v>
      </c>
      <c r="S186" s="262">
        <v>0</v>
      </c>
      <c r="T186" s="205">
        <f t="shared" si="2"/>
        <v>230000</v>
      </c>
      <c r="U186" s="208"/>
    </row>
    <row r="187" spans="2:21" x14ac:dyDescent="0.3">
      <c r="B187" s="227"/>
      <c r="C187" s="227"/>
      <c r="D187" s="227"/>
      <c r="E187" s="227"/>
      <c r="F187" s="206" t="s">
        <v>1260</v>
      </c>
      <c r="G187" s="205">
        <v>100000</v>
      </c>
      <c r="H187" s="227"/>
      <c r="I187" s="207" t="s">
        <v>1311</v>
      </c>
      <c r="J187" s="205">
        <v>100000</v>
      </c>
      <c r="K187" s="227"/>
      <c r="L187" s="255" t="s">
        <v>226</v>
      </c>
      <c r="M187" s="214">
        <v>0</v>
      </c>
      <c r="N187" s="227"/>
      <c r="O187" s="207" t="s">
        <v>1243</v>
      </c>
      <c r="P187" s="207">
        <v>30000</v>
      </c>
      <c r="Q187" s="227"/>
      <c r="R187" s="207" t="s">
        <v>1354</v>
      </c>
      <c r="S187" s="262">
        <v>0</v>
      </c>
      <c r="T187" s="205">
        <f t="shared" si="2"/>
        <v>230000</v>
      </c>
      <c r="U187" s="208"/>
    </row>
    <row r="188" spans="2:21" x14ac:dyDescent="0.3">
      <c r="B188" s="227"/>
      <c r="C188" s="227"/>
      <c r="D188" s="227"/>
      <c r="E188" s="227"/>
      <c r="F188" s="206" t="s">
        <v>1257</v>
      </c>
      <c r="G188" s="205">
        <v>100000</v>
      </c>
      <c r="H188" s="227"/>
      <c r="I188" s="205" t="s">
        <v>159</v>
      </c>
      <c r="J188" s="205">
        <v>100000</v>
      </c>
      <c r="K188" s="227"/>
      <c r="L188" s="255" t="s">
        <v>226</v>
      </c>
      <c r="M188" s="205">
        <v>0</v>
      </c>
      <c r="N188" s="227"/>
      <c r="O188" s="207" t="s">
        <v>1207</v>
      </c>
      <c r="P188" s="207">
        <v>100000</v>
      </c>
      <c r="Q188" s="227"/>
      <c r="R188" s="207" t="s">
        <v>1354</v>
      </c>
      <c r="S188" s="207">
        <v>0</v>
      </c>
      <c r="T188" s="205">
        <f t="shared" si="2"/>
        <v>300000</v>
      </c>
      <c r="U188" s="208"/>
    </row>
    <row r="189" spans="2:21" x14ac:dyDescent="0.3">
      <c r="B189" s="227"/>
      <c r="C189" s="227"/>
      <c r="D189" s="227"/>
      <c r="E189" s="227"/>
      <c r="F189" s="206" t="s">
        <v>1257</v>
      </c>
      <c r="G189" s="205">
        <v>100000</v>
      </c>
      <c r="H189" s="227"/>
      <c r="I189" s="205" t="s">
        <v>381</v>
      </c>
      <c r="J189" s="205">
        <v>100000</v>
      </c>
      <c r="K189" s="227"/>
      <c r="L189" s="255" t="s">
        <v>226</v>
      </c>
      <c r="M189" s="205">
        <v>0</v>
      </c>
      <c r="N189" s="227"/>
      <c r="O189" s="207" t="s">
        <v>1207</v>
      </c>
      <c r="P189" s="207">
        <v>100000</v>
      </c>
      <c r="Q189" s="227"/>
      <c r="R189" s="207" t="s">
        <v>1354</v>
      </c>
      <c r="S189" s="207">
        <v>0</v>
      </c>
      <c r="T189" s="205">
        <f t="shared" si="2"/>
        <v>300000</v>
      </c>
      <c r="U189" s="208"/>
    </row>
    <row r="190" spans="2:21" x14ac:dyDescent="0.3">
      <c r="B190" s="227"/>
      <c r="C190" s="227"/>
      <c r="D190" s="227"/>
      <c r="E190" s="227"/>
      <c r="F190" s="257" t="s">
        <v>1257</v>
      </c>
      <c r="G190" s="210">
        <v>100000</v>
      </c>
      <c r="H190" s="227"/>
      <c r="I190" s="260" t="s">
        <v>1311</v>
      </c>
      <c r="J190" s="210">
        <v>100000</v>
      </c>
      <c r="K190" s="227"/>
      <c r="L190" s="256" t="s">
        <v>226</v>
      </c>
      <c r="M190" s="210">
        <v>0</v>
      </c>
      <c r="N190" s="227"/>
      <c r="O190" s="260" t="s">
        <v>1207</v>
      </c>
      <c r="P190" s="260">
        <v>100000</v>
      </c>
      <c r="Q190" s="227"/>
      <c r="R190" s="260" t="s">
        <v>1354</v>
      </c>
      <c r="S190" s="260">
        <v>0</v>
      </c>
      <c r="T190" s="210">
        <f t="shared" si="2"/>
        <v>300000</v>
      </c>
      <c r="U190" s="208"/>
    </row>
    <row r="191" spans="2:21" x14ac:dyDescent="0.3">
      <c r="B191" s="227"/>
      <c r="C191" s="227"/>
      <c r="D191" s="227"/>
      <c r="E191" s="227"/>
      <c r="F191" s="206" t="s">
        <v>1257</v>
      </c>
      <c r="G191" s="205">
        <v>100000</v>
      </c>
      <c r="H191" s="227"/>
      <c r="I191" s="205" t="s">
        <v>159</v>
      </c>
      <c r="J191" s="205">
        <v>100000</v>
      </c>
      <c r="K191" s="227"/>
      <c r="L191" s="255" t="s">
        <v>226</v>
      </c>
      <c r="M191" s="205">
        <v>0</v>
      </c>
      <c r="N191" s="227"/>
      <c r="O191" s="207" t="s">
        <v>1242</v>
      </c>
      <c r="P191" s="207">
        <v>30000</v>
      </c>
      <c r="Q191" s="227"/>
      <c r="R191" s="207" t="s">
        <v>1354</v>
      </c>
      <c r="S191" s="207">
        <v>0</v>
      </c>
      <c r="T191" s="205">
        <f t="shared" si="2"/>
        <v>230000</v>
      </c>
      <c r="U191" s="208"/>
    </row>
    <row r="192" spans="2:21" x14ac:dyDescent="0.3">
      <c r="B192" s="227"/>
      <c r="C192" s="227"/>
      <c r="D192" s="227"/>
      <c r="E192" s="227"/>
      <c r="F192" s="206" t="s">
        <v>1257</v>
      </c>
      <c r="G192" s="205">
        <v>100000</v>
      </c>
      <c r="H192" s="227"/>
      <c r="I192" s="205" t="s">
        <v>381</v>
      </c>
      <c r="J192" s="205">
        <v>100000</v>
      </c>
      <c r="K192" s="227"/>
      <c r="L192" s="255" t="s">
        <v>226</v>
      </c>
      <c r="M192" s="205">
        <v>0</v>
      </c>
      <c r="N192" s="227"/>
      <c r="O192" s="207" t="s">
        <v>1242</v>
      </c>
      <c r="P192" s="207">
        <v>30000</v>
      </c>
      <c r="Q192" s="227"/>
      <c r="R192" s="207" t="s">
        <v>1354</v>
      </c>
      <c r="S192" s="207">
        <v>0</v>
      </c>
      <c r="T192" s="205">
        <f t="shared" si="2"/>
        <v>230000</v>
      </c>
      <c r="U192" s="208"/>
    </row>
    <row r="193" spans="2:21" x14ac:dyDescent="0.3">
      <c r="B193" s="227"/>
      <c r="C193" s="227"/>
      <c r="D193" s="227"/>
      <c r="E193" s="227"/>
      <c r="F193" s="206" t="s">
        <v>1257</v>
      </c>
      <c r="G193" s="205">
        <v>100000</v>
      </c>
      <c r="H193" s="227"/>
      <c r="I193" s="207" t="s">
        <v>1311</v>
      </c>
      <c r="J193" s="205">
        <v>100000</v>
      </c>
      <c r="K193" s="227"/>
      <c r="L193" s="255" t="s">
        <v>226</v>
      </c>
      <c r="M193" s="205">
        <v>0</v>
      </c>
      <c r="N193" s="227"/>
      <c r="O193" s="207" t="s">
        <v>1242</v>
      </c>
      <c r="P193" s="207">
        <v>30000</v>
      </c>
      <c r="Q193" s="227"/>
      <c r="R193" s="207" t="s">
        <v>1354</v>
      </c>
      <c r="S193" s="207">
        <v>0</v>
      </c>
      <c r="T193" s="205">
        <f t="shared" si="2"/>
        <v>230000</v>
      </c>
      <c r="U193" s="208"/>
    </row>
    <row r="194" spans="2:21" x14ac:dyDescent="0.3">
      <c r="B194" s="227"/>
      <c r="C194" s="227"/>
      <c r="D194" s="227"/>
      <c r="E194" s="227"/>
      <c r="F194" s="206" t="s">
        <v>1257</v>
      </c>
      <c r="G194" s="205">
        <v>100000</v>
      </c>
      <c r="H194" s="227"/>
      <c r="I194" s="205" t="s">
        <v>159</v>
      </c>
      <c r="J194" s="205">
        <v>100000</v>
      </c>
      <c r="K194" s="227"/>
      <c r="L194" s="255" t="s">
        <v>226</v>
      </c>
      <c r="M194" s="205">
        <v>0</v>
      </c>
      <c r="N194" s="227"/>
      <c r="O194" s="207" t="s">
        <v>1243</v>
      </c>
      <c r="P194" s="207">
        <v>30000</v>
      </c>
      <c r="Q194" s="227"/>
      <c r="R194" s="207" t="s">
        <v>1354</v>
      </c>
      <c r="S194" s="207">
        <v>0</v>
      </c>
      <c r="T194" s="205">
        <f t="shared" si="2"/>
        <v>230000</v>
      </c>
      <c r="U194" s="208"/>
    </row>
    <row r="195" spans="2:21" x14ac:dyDescent="0.3">
      <c r="B195" s="227"/>
      <c r="C195" s="227"/>
      <c r="D195" s="227"/>
      <c r="E195" s="227"/>
      <c r="F195" s="206" t="s">
        <v>1257</v>
      </c>
      <c r="G195" s="205">
        <v>100000</v>
      </c>
      <c r="H195" s="227"/>
      <c r="I195" s="205" t="s">
        <v>381</v>
      </c>
      <c r="J195" s="205">
        <v>100000</v>
      </c>
      <c r="K195" s="227"/>
      <c r="L195" s="255" t="s">
        <v>226</v>
      </c>
      <c r="M195" s="205">
        <v>0</v>
      </c>
      <c r="N195" s="227"/>
      <c r="O195" s="207" t="s">
        <v>1243</v>
      </c>
      <c r="P195" s="207">
        <v>30000</v>
      </c>
      <c r="Q195" s="227"/>
      <c r="R195" s="207" t="s">
        <v>1354</v>
      </c>
      <c r="S195" s="207">
        <v>0</v>
      </c>
      <c r="T195" s="205">
        <f t="shared" si="2"/>
        <v>230000</v>
      </c>
      <c r="U195" s="208"/>
    </row>
    <row r="196" spans="2:21" x14ac:dyDescent="0.3">
      <c r="B196" s="227"/>
      <c r="C196" s="227"/>
      <c r="D196" s="227"/>
      <c r="E196" s="227"/>
      <c r="F196" s="206" t="s">
        <v>1257</v>
      </c>
      <c r="G196" s="205">
        <v>100000</v>
      </c>
      <c r="H196" s="227"/>
      <c r="I196" s="207" t="s">
        <v>1311</v>
      </c>
      <c r="J196" s="205">
        <v>100000</v>
      </c>
      <c r="K196" s="227"/>
      <c r="L196" s="255" t="s">
        <v>226</v>
      </c>
      <c r="M196" s="205">
        <v>0</v>
      </c>
      <c r="N196" s="227"/>
      <c r="O196" s="207" t="s">
        <v>1243</v>
      </c>
      <c r="P196" s="207">
        <v>30000</v>
      </c>
      <c r="Q196" s="227"/>
      <c r="R196" s="207" t="s">
        <v>1354</v>
      </c>
      <c r="S196" s="207">
        <v>0</v>
      </c>
      <c r="T196" s="205">
        <f t="shared" si="2"/>
        <v>230000</v>
      </c>
      <c r="U196" s="208"/>
    </row>
    <row r="197" spans="2:21" x14ac:dyDescent="0.3">
      <c r="B197" s="227"/>
      <c r="C197" s="227"/>
      <c r="D197" s="227"/>
      <c r="E197" s="227"/>
      <c r="F197" s="206" t="s">
        <v>1272</v>
      </c>
      <c r="G197" s="205">
        <v>100000</v>
      </c>
      <c r="H197" s="227"/>
      <c r="I197" s="205" t="s">
        <v>381</v>
      </c>
      <c r="J197" s="205">
        <v>100000</v>
      </c>
      <c r="K197" s="227"/>
      <c r="L197" s="255" t="s">
        <v>226</v>
      </c>
      <c r="M197" s="205">
        <v>0</v>
      </c>
      <c r="N197" s="227"/>
      <c r="O197" s="207" t="s">
        <v>1207</v>
      </c>
      <c r="P197" s="207">
        <v>100000</v>
      </c>
      <c r="Q197" s="227"/>
      <c r="R197" s="207" t="s">
        <v>1354</v>
      </c>
      <c r="S197" s="207">
        <v>0</v>
      </c>
      <c r="T197" s="205">
        <f t="shared" si="2"/>
        <v>300000</v>
      </c>
      <c r="U197" s="208"/>
    </row>
    <row r="198" spans="2:21" x14ac:dyDescent="0.3">
      <c r="B198" s="227"/>
      <c r="C198" s="227"/>
      <c r="D198" s="227"/>
      <c r="E198" s="227"/>
      <c r="F198" s="257" t="s">
        <v>1272</v>
      </c>
      <c r="G198" s="210">
        <v>100000</v>
      </c>
      <c r="H198" s="227"/>
      <c r="I198" s="260" t="s">
        <v>1311</v>
      </c>
      <c r="J198" s="210">
        <v>100000</v>
      </c>
      <c r="K198" s="227"/>
      <c r="L198" s="256" t="s">
        <v>226</v>
      </c>
      <c r="M198" s="210">
        <v>0</v>
      </c>
      <c r="N198" s="227"/>
      <c r="O198" s="260" t="s">
        <v>1207</v>
      </c>
      <c r="P198" s="260">
        <v>100000</v>
      </c>
      <c r="Q198" s="227"/>
      <c r="R198" s="260" t="s">
        <v>1354</v>
      </c>
      <c r="S198" s="260">
        <v>0</v>
      </c>
      <c r="T198" s="210">
        <f t="shared" si="2"/>
        <v>300000</v>
      </c>
      <c r="U198" s="208"/>
    </row>
    <row r="199" spans="2:21" x14ac:dyDescent="0.3">
      <c r="B199" s="227"/>
      <c r="C199" s="227"/>
      <c r="D199" s="227"/>
      <c r="E199" s="227"/>
      <c r="F199" s="206" t="s">
        <v>1272</v>
      </c>
      <c r="G199" s="205">
        <v>100000</v>
      </c>
      <c r="H199" s="227"/>
      <c r="I199" s="205" t="s">
        <v>381</v>
      </c>
      <c r="J199" s="205">
        <v>100000</v>
      </c>
      <c r="K199" s="227"/>
      <c r="L199" s="255" t="s">
        <v>226</v>
      </c>
      <c r="M199" s="205">
        <v>0</v>
      </c>
      <c r="N199" s="227"/>
      <c r="O199" s="207" t="s">
        <v>1242</v>
      </c>
      <c r="P199" s="207">
        <v>30000</v>
      </c>
      <c r="Q199" s="227"/>
      <c r="R199" s="207" t="s">
        <v>1354</v>
      </c>
      <c r="S199" s="207">
        <v>0</v>
      </c>
      <c r="T199" s="205">
        <f t="shared" si="2"/>
        <v>230000</v>
      </c>
      <c r="U199" s="208"/>
    </row>
    <row r="200" spans="2:21" x14ac:dyDescent="0.3">
      <c r="B200" s="227"/>
      <c r="C200" s="227"/>
      <c r="D200" s="227"/>
      <c r="E200" s="227"/>
      <c r="F200" s="206" t="s">
        <v>1272</v>
      </c>
      <c r="G200" s="205">
        <v>100000</v>
      </c>
      <c r="H200" s="227"/>
      <c r="I200" s="207" t="s">
        <v>1311</v>
      </c>
      <c r="J200" s="205">
        <v>100000</v>
      </c>
      <c r="K200" s="227"/>
      <c r="L200" s="255" t="s">
        <v>226</v>
      </c>
      <c r="M200" s="205">
        <v>0</v>
      </c>
      <c r="N200" s="227"/>
      <c r="O200" s="207" t="s">
        <v>1242</v>
      </c>
      <c r="P200" s="207">
        <v>30000</v>
      </c>
      <c r="Q200" s="227"/>
      <c r="R200" s="207" t="s">
        <v>1354</v>
      </c>
      <c r="S200" s="207">
        <v>0</v>
      </c>
      <c r="T200" s="205">
        <f t="shared" ref="T200:T263" si="3">SUM(J200,G200,M200,P200,S200)</f>
        <v>230000</v>
      </c>
      <c r="U200" s="208"/>
    </row>
    <row r="201" spans="2:21" x14ac:dyDescent="0.3">
      <c r="B201" s="227"/>
      <c r="C201" s="227"/>
      <c r="D201" s="227"/>
      <c r="E201" s="227"/>
      <c r="F201" s="206" t="s">
        <v>1272</v>
      </c>
      <c r="G201" s="205">
        <v>100000</v>
      </c>
      <c r="H201" s="227"/>
      <c r="I201" s="205" t="s">
        <v>381</v>
      </c>
      <c r="J201" s="205">
        <v>100000</v>
      </c>
      <c r="K201" s="227"/>
      <c r="L201" s="255" t="s">
        <v>226</v>
      </c>
      <c r="M201" s="205">
        <v>0</v>
      </c>
      <c r="N201" s="227"/>
      <c r="O201" s="207" t="s">
        <v>1243</v>
      </c>
      <c r="P201" s="207">
        <v>30000</v>
      </c>
      <c r="Q201" s="227"/>
      <c r="R201" s="207" t="s">
        <v>1354</v>
      </c>
      <c r="S201" s="207">
        <v>0</v>
      </c>
      <c r="T201" s="205">
        <f t="shared" si="3"/>
        <v>230000</v>
      </c>
      <c r="U201" s="208"/>
    </row>
    <row r="202" spans="2:21" x14ac:dyDescent="0.3">
      <c r="B202" s="227"/>
      <c r="C202" s="227"/>
      <c r="D202" s="227"/>
      <c r="E202" s="227"/>
      <c r="F202" s="206" t="s">
        <v>1272</v>
      </c>
      <c r="G202" s="205">
        <v>100000</v>
      </c>
      <c r="H202" s="227"/>
      <c r="I202" s="207" t="s">
        <v>1311</v>
      </c>
      <c r="J202" s="205">
        <v>100000</v>
      </c>
      <c r="K202" s="227"/>
      <c r="L202" s="255" t="s">
        <v>226</v>
      </c>
      <c r="M202" s="205">
        <v>0</v>
      </c>
      <c r="N202" s="227"/>
      <c r="O202" s="207" t="s">
        <v>1243</v>
      </c>
      <c r="P202" s="207">
        <v>30000</v>
      </c>
      <c r="Q202" s="227"/>
      <c r="R202" s="207" t="s">
        <v>1354</v>
      </c>
      <c r="S202" s="207">
        <v>0</v>
      </c>
      <c r="T202" s="205">
        <f t="shared" si="3"/>
        <v>230000</v>
      </c>
      <c r="U202" s="208"/>
    </row>
    <row r="203" spans="2:21" x14ac:dyDescent="0.3">
      <c r="B203" s="227"/>
      <c r="C203" s="227"/>
      <c r="D203" s="227"/>
      <c r="E203" s="227"/>
      <c r="F203" s="204" t="s">
        <v>1187</v>
      </c>
      <c r="G203" s="205">
        <v>100000</v>
      </c>
      <c r="H203" s="227"/>
      <c r="I203" s="205" t="s">
        <v>159</v>
      </c>
      <c r="J203" s="205">
        <v>100000</v>
      </c>
      <c r="K203" s="227"/>
      <c r="L203" s="255" t="s">
        <v>226</v>
      </c>
      <c r="M203" s="205">
        <v>0</v>
      </c>
      <c r="N203" s="227"/>
      <c r="O203" s="207" t="s">
        <v>1207</v>
      </c>
      <c r="P203" s="207">
        <v>100000</v>
      </c>
      <c r="Q203" s="227"/>
      <c r="R203" s="207" t="s">
        <v>1354</v>
      </c>
      <c r="S203" s="207">
        <v>0</v>
      </c>
      <c r="T203" s="205">
        <f t="shared" si="3"/>
        <v>300000</v>
      </c>
      <c r="U203" s="208"/>
    </row>
    <row r="204" spans="2:21" x14ac:dyDescent="0.3">
      <c r="B204" s="227"/>
      <c r="C204" s="227"/>
      <c r="D204" s="227"/>
      <c r="E204" s="227"/>
      <c r="F204" s="204" t="s">
        <v>1187</v>
      </c>
      <c r="G204" s="205">
        <v>100000</v>
      </c>
      <c r="H204" s="227"/>
      <c r="I204" s="205" t="s">
        <v>381</v>
      </c>
      <c r="J204" s="205">
        <v>100000</v>
      </c>
      <c r="K204" s="227"/>
      <c r="L204" s="255" t="s">
        <v>226</v>
      </c>
      <c r="M204" s="205">
        <v>0</v>
      </c>
      <c r="N204" s="227"/>
      <c r="O204" s="207" t="s">
        <v>1207</v>
      </c>
      <c r="P204" s="207">
        <v>100000</v>
      </c>
      <c r="Q204" s="227"/>
      <c r="R204" s="207" t="s">
        <v>1354</v>
      </c>
      <c r="S204" s="207">
        <v>0</v>
      </c>
      <c r="T204" s="205">
        <f t="shared" si="3"/>
        <v>300000</v>
      </c>
      <c r="U204" s="208"/>
    </row>
    <row r="205" spans="2:21" x14ac:dyDescent="0.3">
      <c r="B205" s="227"/>
      <c r="C205" s="227"/>
      <c r="D205" s="227"/>
      <c r="E205" s="227"/>
      <c r="F205" s="204" t="s">
        <v>1187</v>
      </c>
      <c r="G205" s="205">
        <v>100000</v>
      </c>
      <c r="H205" s="227"/>
      <c r="I205" s="207" t="s">
        <v>1311</v>
      </c>
      <c r="J205" s="205">
        <v>100000</v>
      </c>
      <c r="K205" s="227"/>
      <c r="L205" s="255" t="s">
        <v>226</v>
      </c>
      <c r="M205" s="205">
        <v>0</v>
      </c>
      <c r="N205" s="227"/>
      <c r="O205" s="207" t="s">
        <v>1207</v>
      </c>
      <c r="P205" s="207">
        <v>100000</v>
      </c>
      <c r="Q205" s="227"/>
      <c r="R205" s="207" t="s">
        <v>1354</v>
      </c>
      <c r="S205" s="207">
        <v>0</v>
      </c>
      <c r="T205" s="205">
        <f t="shared" si="3"/>
        <v>300000</v>
      </c>
      <c r="U205" s="208"/>
    </row>
    <row r="206" spans="2:21" x14ac:dyDescent="0.3">
      <c r="B206" s="227"/>
      <c r="C206" s="227"/>
      <c r="D206" s="227"/>
      <c r="E206" s="227"/>
      <c r="F206" s="204" t="s">
        <v>1187</v>
      </c>
      <c r="G206" s="205">
        <v>100000</v>
      </c>
      <c r="H206" s="227"/>
      <c r="I206" s="205" t="s">
        <v>159</v>
      </c>
      <c r="J206" s="205">
        <v>100000</v>
      </c>
      <c r="K206" s="227"/>
      <c r="L206" s="255" t="s">
        <v>226</v>
      </c>
      <c r="M206" s="205">
        <v>0</v>
      </c>
      <c r="N206" s="227"/>
      <c r="O206" s="207" t="s">
        <v>1242</v>
      </c>
      <c r="P206" s="207">
        <v>30000</v>
      </c>
      <c r="Q206" s="227"/>
      <c r="R206" s="207" t="s">
        <v>1354</v>
      </c>
      <c r="S206" s="207">
        <v>0</v>
      </c>
      <c r="T206" s="205">
        <f t="shared" si="3"/>
        <v>230000</v>
      </c>
      <c r="U206" s="208"/>
    </row>
    <row r="207" spans="2:21" x14ac:dyDescent="0.3">
      <c r="B207" s="227"/>
      <c r="C207" s="227"/>
      <c r="D207" s="227"/>
      <c r="E207" s="227"/>
      <c r="F207" s="204" t="s">
        <v>1187</v>
      </c>
      <c r="G207" s="205">
        <v>100000</v>
      </c>
      <c r="H207" s="227"/>
      <c r="I207" s="205" t="s">
        <v>381</v>
      </c>
      <c r="J207" s="205">
        <v>100000</v>
      </c>
      <c r="K207" s="227"/>
      <c r="L207" s="255" t="s">
        <v>226</v>
      </c>
      <c r="M207" s="205">
        <v>0</v>
      </c>
      <c r="N207" s="227"/>
      <c r="O207" s="207" t="s">
        <v>1242</v>
      </c>
      <c r="P207" s="207">
        <v>30000</v>
      </c>
      <c r="Q207" s="227"/>
      <c r="R207" s="207" t="s">
        <v>1354</v>
      </c>
      <c r="S207" s="207">
        <v>0</v>
      </c>
      <c r="T207" s="205">
        <f t="shared" si="3"/>
        <v>230000</v>
      </c>
      <c r="U207" s="208"/>
    </row>
    <row r="208" spans="2:21" x14ac:dyDescent="0.3">
      <c r="B208" s="227"/>
      <c r="C208" s="227"/>
      <c r="D208" s="227"/>
      <c r="E208" s="227"/>
      <c r="F208" s="204" t="s">
        <v>1187</v>
      </c>
      <c r="G208" s="205">
        <v>100000</v>
      </c>
      <c r="H208" s="227"/>
      <c r="I208" s="207" t="s">
        <v>1311</v>
      </c>
      <c r="J208" s="205">
        <v>100000</v>
      </c>
      <c r="K208" s="227"/>
      <c r="L208" s="255" t="s">
        <v>226</v>
      </c>
      <c r="M208" s="205">
        <v>0</v>
      </c>
      <c r="N208" s="227"/>
      <c r="O208" s="207" t="s">
        <v>1242</v>
      </c>
      <c r="P208" s="207">
        <v>30000</v>
      </c>
      <c r="Q208" s="227"/>
      <c r="R208" s="207" t="s">
        <v>1354</v>
      </c>
      <c r="S208" s="207">
        <v>0</v>
      </c>
      <c r="T208" s="205">
        <f t="shared" si="3"/>
        <v>230000</v>
      </c>
      <c r="U208" s="208"/>
    </row>
    <row r="209" spans="2:21" x14ac:dyDescent="0.3">
      <c r="B209" s="227"/>
      <c r="C209" s="227"/>
      <c r="D209" s="227"/>
      <c r="E209" s="227"/>
      <c r="F209" s="204" t="s">
        <v>1187</v>
      </c>
      <c r="G209" s="205">
        <v>100000</v>
      </c>
      <c r="H209" s="227"/>
      <c r="I209" s="205" t="s">
        <v>159</v>
      </c>
      <c r="J209" s="205">
        <v>100000</v>
      </c>
      <c r="K209" s="227"/>
      <c r="L209" s="255" t="s">
        <v>226</v>
      </c>
      <c r="M209" s="205">
        <v>0</v>
      </c>
      <c r="N209" s="227"/>
      <c r="O209" s="207" t="s">
        <v>1243</v>
      </c>
      <c r="P209" s="207">
        <v>30000</v>
      </c>
      <c r="Q209" s="227"/>
      <c r="R209" s="207" t="s">
        <v>1354</v>
      </c>
      <c r="S209" s="207">
        <v>0</v>
      </c>
      <c r="T209" s="205">
        <f t="shared" si="3"/>
        <v>230000</v>
      </c>
      <c r="U209" s="208"/>
    </row>
    <row r="210" spans="2:21" x14ac:dyDescent="0.3">
      <c r="B210" s="227"/>
      <c r="C210" s="227"/>
      <c r="D210" s="227"/>
      <c r="E210" s="227"/>
      <c r="F210" s="204" t="s">
        <v>1187</v>
      </c>
      <c r="G210" s="205">
        <v>100000</v>
      </c>
      <c r="H210" s="227"/>
      <c r="I210" s="205" t="s">
        <v>381</v>
      </c>
      <c r="J210" s="205">
        <v>100000</v>
      </c>
      <c r="K210" s="227"/>
      <c r="L210" s="255" t="s">
        <v>226</v>
      </c>
      <c r="M210" s="205">
        <v>0</v>
      </c>
      <c r="N210" s="227"/>
      <c r="O210" s="207" t="s">
        <v>1243</v>
      </c>
      <c r="P210" s="207">
        <v>30000</v>
      </c>
      <c r="Q210" s="227"/>
      <c r="R210" s="207" t="s">
        <v>1354</v>
      </c>
      <c r="S210" s="207">
        <v>0</v>
      </c>
      <c r="T210" s="205">
        <f t="shared" si="3"/>
        <v>230000</v>
      </c>
      <c r="U210" s="208"/>
    </row>
    <row r="211" spans="2:21" x14ac:dyDescent="0.3">
      <c r="B211" s="227"/>
      <c r="C211" s="227"/>
      <c r="D211" s="227"/>
      <c r="E211" s="227"/>
      <c r="F211" s="204" t="s">
        <v>1187</v>
      </c>
      <c r="G211" s="205">
        <v>100000</v>
      </c>
      <c r="H211" s="227"/>
      <c r="I211" s="207" t="s">
        <v>1311</v>
      </c>
      <c r="J211" s="205">
        <v>100000</v>
      </c>
      <c r="K211" s="227"/>
      <c r="L211" s="255" t="s">
        <v>226</v>
      </c>
      <c r="M211" s="205">
        <v>0</v>
      </c>
      <c r="N211" s="227"/>
      <c r="O211" s="207" t="s">
        <v>1243</v>
      </c>
      <c r="P211" s="207">
        <v>30000</v>
      </c>
      <c r="Q211" s="227"/>
      <c r="R211" s="207" t="s">
        <v>1354</v>
      </c>
      <c r="S211" s="207">
        <v>0</v>
      </c>
      <c r="T211" s="205">
        <f t="shared" si="3"/>
        <v>230000</v>
      </c>
      <c r="U211" s="208"/>
    </row>
    <row r="212" spans="2:21" x14ac:dyDescent="0.3">
      <c r="B212" s="212"/>
      <c r="C212" s="213"/>
      <c r="D212" s="213"/>
      <c r="E212" s="230"/>
      <c r="F212" s="285" t="s">
        <v>1266</v>
      </c>
      <c r="G212" s="214">
        <v>100000</v>
      </c>
      <c r="H212" s="230"/>
      <c r="I212" s="216" t="s">
        <v>381</v>
      </c>
      <c r="J212" s="215">
        <v>50000</v>
      </c>
      <c r="K212" s="230"/>
      <c r="L212" s="253" t="s">
        <v>226</v>
      </c>
      <c r="M212" s="214">
        <v>0</v>
      </c>
      <c r="N212" s="230"/>
      <c r="O212" s="252" t="s">
        <v>1207</v>
      </c>
      <c r="P212" s="261">
        <v>100000</v>
      </c>
      <c r="Q212" s="230"/>
      <c r="R212" s="252" t="s">
        <v>1354</v>
      </c>
      <c r="S212" s="261">
        <v>0</v>
      </c>
      <c r="T212" s="249">
        <f t="shared" si="3"/>
        <v>250000</v>
      </c>
      <c r="U212" s="217"/>
    </row>
    <row r="213" spans="2:21" x14ac:dyDescent="0.3">
      <c r="B213" s="212"/>
      <c r="C213" s="213"/>
      <c r="D213" s="213"/>
      <c r="E213" s="230"/>
      <c r="F213" s="286" t="s">
        <v>1266</v>
      </c>
      <c r="G213" s="258">
        <v>100000</v>
      </c>
      <c r="H213" s="230"/>
      <c r="I213" s="287" t="s">
        <v>1311</v>
      </c>
      <c r="J213" s="288">
        <v>50000</v>
      </c>
      <c r="K213" s="230"/>
      <c r="L213" s="289" t="s">
        <v>226</v>
      </c>
      <c r="M213" s="258">
        <v>0</v>
      </c>
      <c r="N213" s="230"/>
      <c r="O213" s="287" t="s">
        <v>1207</v>
      </c>
      <c r="P213" s="290">
        <v>100000</v>
      </c>
      <c r="Q213" s="230"/>
      <c r="R213" s="287" t="s">
        <v>1354</v>
      </c>
      <c r="S213" s="290">
        <v>0</v>
      </c>
      <c r="T213" s="291">
        <f t="shared" si="3"/>
        <v>250000</v>
      </c>
      <c r="U213" s="217"/>
    </row>
    <row r="214" spans="2:21" x14ac:dyDescent="0.3">
      <c r="B214" s="212"/>
      <c r="C214" s="213"/>
      <c r="D214" s="213"/>
      <c r="E214" s="230"/>
      <c r="F214" s="285" t="s">
        <v>1266</v>
      </c>
      <c r="G214" s="214">
        <v>100000</v>
      </c>
      <c r="H214" s="230"/>
      <c r="I214" s="216" t="s">
        <v>381</v>
      </c>
      <c r="J214" s="215">
        <v>50000</v>
      </c>
      <c r="K214" s="230"/>
      <c r="L214" s="253" t="s">
        <v>226</v>
      </c>
      <c r="M214" s="214">
        <v>0</v>
      </c>
      <c r="N214" s="230"/>
      <c r="O214" s="252" t="s">
        <v>1242</v>
      </c>
      <c r="P214" s="261">
        <v>30000</v>
      </c>
      <c r="Q214" s="230"/>
      <c r="R214" s="252" t="s">
        <v>1354</v>
      </c>
      <c r="S214" s="261">
        <v>0</v>
      </c>
      <c r="T214" s="249">
        <f t="shared" si="3"/>
        <v>180000</v>
      </c>
      <c r="U214" s="217"/>
    </row>
    <row r="215" spans="2:21" x14ac:dyDescent="0.3">
      <c r="B215" s="212"/>
      <c r="C215" s="213"/>
      <c r="D215" s="213"/>
      <c r="E215" s="230"/>
      <c r="F215" s="285" t="s">
        <v>1266</v>
      </c>
      <c r="G215" s="214">
        <v>100000</v>
      </c>
      <c r="H215" s="230"/>
      <c r="I215" s="252" t="s">
        <v>1311</v>
      </c>
      <c r="J215" s="215">
        <v>50000</v>
      </c>
      <c r="K215" s="230"/>
      <c r="L215" s="253" t="s">
        <v>226</v>
      </c>
      <c r="M215" s="214">
        <v>0</v>
      </c>
      <c r="N215" s="230"/>
      <c r="O215" s="252" t="s">
        <v>1242</v>
      </c>
      <c r="P215" s="261">
        <v>30000</v>
      </c>
      <c r="Q215" s="230"/>
      <c r="R215" s="252" t="s">
        <v>1354</v>
      </c>
      <c r="S215" s="261">
        <v>0</v>
      </c>
      <c r="T215" s="249">
        <f t="shared" si="3"/>
        <v>180000</v>
      </c>
      <c r="U215" s="217"/>
    </row>
    <row r="216" spans="2:21" x14ac:dyDescent="0.3">
      <c r="B216" s="212"/>
      <c r="C216" s="213"/>
      <c r="D216" s="213"/>
      <c r="E216" s="230"/>
      <c r="F216" s="285" t="s">
        <v>1266</v>
      </c>
      <c r="G216" s="214">
        <v>100000</v>
      </c>
      <c r="H216" s="230"/>
      <c r="I216" s="216" t="s">
        <v>381</v>
      </c>
      <c r="J216" s="215">
        <v>50000</v>
      </c>
      <c r="K216" s="230"/>
      <c r="L216" s="253" t="s">
        <v>226</v>
      </c>
      <c r="M216" s="214">
        <v>0</v>
      </c>
      <c r="N216" s="230"/>
      <c r="O216" s="252" t="s">
        <v>1243</v>
      </c>
      <c r="P216" s="261">
        <v>30000</v>
      </c>
      <c r="Q216" s="230"/>
      <c r="R216" s="252" t="s">
        <v>1354</v>
      </c>
      <c r="S216" s="261">
        <v>0</v>
      </c>
      <c r="T216" s="249">
        <f t="shared" si="3"/>
        <v>180000</v>
      </c>
      <c r="U216" s="217"/>
    </row>
    <row r="217" spans="2:21" x14ac:dyDescent="0.3">
      <c r="B217" s="212"/>
      <c r="C217" s="213"/>
      <c r="D217" s="213"/>
      <c r="E217" s="230"/>
      <c r="F217" s="285" t="s">
        <v>1266</v>
      </c>
      <c r="G217" s="214">
        <v>100000</v>
      </c>
      <c r="H217" s="230"/>
      <c r="I217" s="252" t="s">
        <v>1311</v>
      </c>
      <c r="J217" s="215">
        <v>50000</v>
      </c>
      <c r="K217" s="230"/>
      <c r="L217" s="253" t="s">
        <v>226</v>
      </c>
      <c r="M217" s="214">
        <v>0</v>
      </c>
      <c r="N217" s="230"/>
      <c r="O217" s="252" t="s">
        <v>1243</v>
      </c>
      <c r="P217" s="261">
        <v>30000</v>
      </c>
      <c r="Q217" s="230"/>
      <c r="R217" s="252" t="s">
        <v>1354</v>
      </c>
      <c r="S217" s="261">
        <v>0</v>
      </c>
      <c r="T217" s="249">
        <f t="shared" si="3"/>
        <v>180000</v>
      </c>
      <c r="U217" s="217"/>
    </row>
    <row r="218" spans="2:21" x14ac:dyDescent="0.3">
      <c r="B218" s="211"/>
      <c r="C218" s="293"/>
      <c r="D218" s="282"/>
      <c r="E218" s="226" t="s">
        <v>160</v>
      </c>
      <c r="F218" s="250" t="s">
        <v>1269</v>
      </c>
      <c r="G218" s="203">
        <v>100000</v>
      </c>
      <c r="H218" s="226" t="s">
        <v>161</v>
      </c>
      <c r="I218" s="251" t="s">
        <v>1313</v>
      </c>
      <c r="J218" s="203">
        <v>100000</v>
      </c>
      <c r="K218" s="283" t="s">
        <v>1369</v>
      </c>
      <c r="L218" s="254" t="s">
        <v>1207</v>
      </c>
      <c r="M218" s="203">
        <v>100000</v>
      </c>
      <c r="N218" s="226" t="s">
        <v>1208</v>
      </c>
      <c r="O218" s="251" t="s">
        <v>1242</v>
      </c>
      <c r="P218" s="251">
        <v>30000</v>
      </c>
      <c r="Q218" s="226" t="s">
        <v>1366</v>
      </c>
      <c r="R218" s="251" t="s">
        <v>1354</v>
      </c>
      <c r="S218" s="251">
        <v>0</v>
      </c>
      <c r="T218" s="203">
        <f t="shared" si="3"/>
        <v>330000</v>
      </c>
      <c r="U218" s="295"/>
    </row>
    <row r="219" spans="2:21" x14ac:dyDescent="0.3">
      <c r="B219" s="227"/>
      <c r="C219" s="227"/>
      <c r="D219" s="227"/>
      <c r="E219" s="227"/>
      <c r="F219" s="204" t="s">
        <v>109</v>
      </c>
      <c r="G219" s="205">
        <v>100000</v>
      </c>
      <c r="H219" s="227"/>
      <c r="I219" s="205" t="s">
        <v>159</v>
      </c>
      <c r="J219" s="205">
        <v>100000</v>
      </c>
      <c r="K219" s="227"/>
      <c r="L219" s="255" t="s">
        <v>1207</v>
      </c>
      <c r="M219" s="214">
        <v>100000</v>
      </c>
      <c r="N219" s="227"/>
      <c r="O219" s="207" t="s">
        <v>1242</v>
      </c>
      <c r="P219" s="207">
        <v>30000</v>
      </c>
      <c r="Q219" s="227"/>
      <c r="R219" s="207" t="s">
        <v>1354</v>
      </c>
      <c r="S219" s="262">
        <v>0</v>
      </c>
      <c r="T219" s="205">
        <f t="shared" si="3"/>
        <v>330000</v>
      </c>
      <c r="U219" s="295"/>
    </row>
    <row r="220" spans="2:21" x14ac:dyDescent="0.3">
      <c r="B220" s="227"/>
      <c r="C220" s="227"/>
      <c r="D220" s="227"/>
      <c r="E220" s="227"/>
      <c r="F220" s="204" t="s">
        <v>1351</v>
      </c>
      <c r="G220" s="205">
        <v>100000</v>
      </c>
      <c r="H220" s="227"/>
      <c r="I220" s="205" t="s">
        <v>159</v>
      </c>
      <c r="J220" s="205">
        <v>100000</v>
      </c>
      <c r="K220" s="227"/>
      <c r="L220" s="255" t="s">
        <v>1207</v>
      </c>
      <c r="M220" s="214">
        <v>100000</v>
      </c>
      <c r="N220" s="227"/>
      <c r="O220" s="207" t="s">
        <v>1242</v>
      </c>
      <c r="P220" s="207">
        <v>30000</v>
      </c>
      <c r="Q220" s="227"/>
      <c r="R220" s="207" t="s">
        <v>1354</v>
      </c>
      <c r="S220" s="262">
        <v>0</v>
      </c>
      <c r="T220" s="205">
        <f t="shared" si="3"/>
        <v>330000</v>
      </c>
      <c r="U220" s="295"/>
    </row>
    <row r="221" spans="2:21" x14ac:dyDescent="0.3">
      <c r="B221" s="227"/>
      <c r="C221" s="227"/>
      <c r="D221" s="227"/>
      <c r="E221" s="227"/>
      <c r="F221" s="204" t="s">
        <v>112</v>
      </c>
      <c r="G221" s="205">
        <v>100000</v>
      </c>
      <c r="H221" s="227"/>
      <c r="I221" s="205" t="s">
        <v>159</v>
      </c>
      <c r="J221" s="205">
        <v>100000</v>
      </c>
      <c r="K221" s="227"/>
      <c r="L221" s="255" t="s">
        <v>1207</v>
      </c>
      <c r="M221" s="214">
        <v>100000</v>
      </c>
      <c r="N221" s="227"/>
      <c r="O221" s="207" t="s">
        <v>1242</v>
      </c>
      <c r="P221" s="207">
        <v>30000</v>
      </c>
      <c r="Q221" s="227"/>
      <c r="R221" s="207" t="s">
        <v>1354</v>
      </c>
      <c r="S221" s="262">
        <v>0</v>
      </c>
      <c r="T221" s="205">
        <f t="shared" si="3"/>
        <v>330000</v>
      </c>
      <c r="U221" s="295"/>
    </row>
    <row r="222" spans="2:21" x14ac:dyDescent="0.3">
      <c r="B222" s="227"/>
      <c r="C222" s="227"/>
      <c r="D222" s="227"/>
      <c r="E222" s="227"/>
      <c r="F222" s="204" t="s">
        <v>113</v>
      </c>
      <c r="G222" s="205">
        <v>100000</v>
      </c>
      <c r="H222" s="227"/>
      <c r="I222" s="205" t="s">
        <v>159</v>
      </c>
      <c r="J222" s="205">
        <v>100000</v>
      </c>
      <c r="K222" s="227"/>
      <c r="L222" s="255" t="s">
        <v>1207</v>
      </c>
      <c r="M222" s="214">
        <v>100000</v>
      </c>
      <c r="N222" s="227"/>
      <c r="O222" s="207" t="s">
        <v>1242</v>
      </c>
      <c r="P222" s="207">
        <v>30000</v>
      </c>
      <c r="Q222" s="227"/>
      <c r="R222" s="207" t="s">
        <v>1354</v>
      </c>
      <c r="S222" s="262">
        <v>0</v>
      </c>
      <c r="T222" s="205">
        <f t="shared" si="3"/>
        <v>330000</v>
      </c>
      <c r="U222" s="295"/>
    </row>
    <row r="223" spans="2:21" x14ac:dyDescent="0.3">
      <c r="B223" s="227"/>
      <c r="C223" s="227"/>
      <c r="D223" s="227"/>
      <c r="E223" s="227"/>
      <c r="F223" s="204" t="s">
        <v>116</v>
      </c>
      <c r="G223" s="205">
        <v>100000</v>
      </c>
      <c r="H223" s="227"/>
      <c r="I223" s="205" t="s">
        <v>159</v>
      </c>
      <c r="J223" s="205">
        <v>100000</v>
      </c>
      <c r="K223" s="227"/>
      <c r="L223" s="255" t="s">
        <v>1207</v>
      </c>
      <c r="M223" s="205">
        <v>100000</v>
      </c>
      <c r="N223" s="227"/>
      <c r="O223" s="207" t="s">
        <v>1242</v>
      </c>
      <c r="P223" s="207">
        <v>30000</v>
      </c>
      <c r="Q223" s="227"/>
      <c r="R223" s="207" t="s">
        <v>1354</v>
      </c>
      <c r="S223" s="207">
        <v>0</v>
      </c>
      <c r="T223" s="205">
        <f t="shared" si="3"/>
        <v>330000</v>
      </c>
      <c r="U223" s="295"/>
    </row>
    <row r="224" spans="2:21" x14ac:dyDescent="0.3">
      <c r="B224" s="212"/>
      <c r="C224" s="213"/>
      <c r="D224" s="213"/>
      <c r="E224" s="230"/>
      <c r="F224" s="214" t="s">
        <v>155</v>
      </c>
      <c r="G224" s="214">
        <v>100000</v>
      </c>
      <c r="H224" s="230"/>
      <c r="I224" s="216" t="s">
        <v>159</v>
      </c>
      <c r="J224" s="215">
        <v>50000</v>
      </c>
      <c r="K224" s="230"/>
      <c r="L224" s="253" t="s">
        <v>1207</v>
      </c>
      <c r="M224" s="214">
        <v>100000</v>
      </c>
      <c r="N224" s="230"/>
      <c r="O224" s="252" t="s">
        <v>1242</v>
      </c>
      <c r="P224" s="261">
        <v>30000</v>
      </c>
      <c r="Q224" s="230"/>
      <c r="R224" s="252" t="s">
        <v>1354</v>
      </c>
      <c r="S224" s="261">
        <v>0</v>
      </c>
      <c r="T224" s="249">
        <f t="shared" si="3"/>
        <v>280000</v>
      </c>
      <c r="U224" s="296"/>
    </row>
    <row r="225" spans="2:21" x14ac:dyDescent="0.3">
      <c r="B225" s="227"/>
      <c r="C225" s="227"/>
      <c r="D225" s="227"/>
      <c r="E225" s="227"/>
      <c r="F225" s="206" t="s">
        <v>1288</v>
      </c>
      <c r="G225" s="205">
        <v>100000</v>
      </c>
      <c r="H225" s="227"/>
      <c r="I225" s="205" t="s">
        <v>159</v>
      </c>
      <c r="J225" s="205">
        <v>100000</v>
      </c>
      <c r="K225" s="227"/>
      <c r="L225" s="255" t="s">
        <v>1207</v>
      </c>
      <c r="M225" s="214">
        <v>100000</v>
      </c>
      <c r="N225" s="227"/>
      <c r="O225" s="207" t="s">
        <v>1242</v>
      </c>
      <c r="P225" s="207">
        <v>30000</v>
      </c>
      <c r="Q225" s="227"/>
      <c r="R225" s="207" t="s">
        <v>1354</v>
      </c>
      <c r="S225" s="262">
        <v>0</v>
      </c>
      <c r="T225" s="205">
        <f t="shared" si="3"/>
        <v>330000</v>
      </c>
      <c r="U225" s="295"/>
    </row>
    <row r="226" spans="2:21" x14ac:dyDescent="0.3">
      <c r="B226" s="227"/>
      <c r="C226" s="227"/>
      <c r="D226" s="227"/>
      <c r="E226" s="227"/>
      <c r="F226" s="206" t="s">
        <v>1260</v>
      </c>
      <c r="G226" s="205">
        <v>100000</v>
      </c>
      <c r="H226" s="227"/>
      <c r="I226" s="205" t="s">
        <v>159</v>
      </c>
      <c r="J226" s="205">
        <v>100000</v>
      </c>
      <c r="K226" s="227"/>
      <c r="L226" s="255" t="s">
        <v>1207</v>
      </c>
      <c r="M226" s="214">
        <v>100000</v>
      </c>
      <c r="N226" s="227"/>
      <c r="O226" s="207" t="s">
        <v>1242</v>
      </c>
      <c r="P226" s="207">
        <v>30000</v>
      </c>
      <c r="Q226" s="227"/>
      <c r="R226" s="207" t="s">
        <v>1354</v>
      </c>
      <c r="S226" s="262">
        <v>0</v>
      </c>
      <c r="T226" s="205">
        <f t="shared" si="3"/>
        <v>330000</v>
      </c>
      <c r="U226" s="295"/>
    </row>
    <row r="227" spans="2:21" x14ac:dyDescent="0.3">
      <c r="B227" s="227"/>
      <c r="C227" s="227"/>
      <c r="D227" s="227"/>
      <c r="E227" s="227"/>
      <c r="F227" s="204" t="s">
        <v>109</v>
      </c>
      <c r="G227" s="205">
        <v>100000</v>
      </c>
      <c r="H227" s="227"/>
      <c r="I227" s="207" t="s">
        <v>1311</v>
      </c>
      <c r="J227" s="205">
        <v>100000</v>
      </c>
      <c r="K227" s="227"/>
      <c r="L227" s="255" t="s">
        <v>1207</v>
      </c>
      <c r="M227" s="214">
        <v>100000</v>
      </c>
      <c r="N227" s="227"/>
      <c r="O227" s="207" t="s">
        <v>1242</v>
      </c>
      <c r="P227" s="207">
        <v>30000</v>
      </c>
      <c r="Q227" s="227"/>
      <c r="R227" s="207" t="s">
        <v>1354</v>
      </c>
      <c r="S227" s="262">
        <v>0</v>
      </c>
      <c r="T227" s="205">
        <f t="shared" si="3"/>
        <v>330000</v>
      </c>
      <c r="U227" s="295"/>
    </row>
    <row r="228" spans="2:21" x14ac:dyDescent="0.3">
      <c r="B228" s="227"/>
      <c r="C228" s="227"/>
      <c r="D228" s="227"/>
      <c r="E228" s="227"/>
      <c r="F228" s="204" t="s">
        <v>1351</v>
      </c>
      <c r="G228" s="205">
        <v>100000</v>
      </c>
      <c r="H228" s="227"/>
      <c r="I228" s="207" t="s">
        <v>1311</v>
      </c>
      <c r="J228" s="205">
        <v>100000</v>
      </c>
      <c r="K228" s="227"/>
      <c r="L228" s="255" t="s">
        <v>1207</v>
      </c>
      <c r="M228" s="214">
        <v>100000</v>
      </c>
      <c r="N228" s="227"/>
      <c r="O228" s="207" t="s">
        <v>1242</v>
      </c>
      <c r="P228" s="207">
        <v>30000</v>
      </c>
      <c r="Q228" s="227"/>
      <c r="R228" s="207" t="s">
        <v>1354</v>
      </c>
      <c r="S228" s="262">
        <v>0</v>
      </c>
      <c r="T228" s="205">
        <f t="shared" si="3"/>
        <v>330000</v>
      </c>
      <c r="U228" s="295"/>
    </row>
    <row r="229" spans="2:21" x14ac:dyDescent="0.3">
      <c r="B229" s="227"/>
      <c r="C229" s="227"/>
      <c r="D229" s="227"/>
      <c r="E229" s="227"/>
      <c r="F229" s="204" t="s">
        <v>112</v>
      </c>
      <c r="G229" s="205">
        <v>100000</v>
      </c>
      <c r="H229" s="227"/>
      <c r="I229" s="207" t="s">
        <v>1311</v>
      </c>
      <c r="J229" s="205">
        <v>100000</v>
      </c>
      <c r="K229" s="227"/>
      <c r="L229" s="255" t="s">
        <v>1207</v>
      </c>
      <c r="M229" s="214">
        <v>100000</v>
      </c>
      <c r="N229" s="227"/>
      <c r="O229" s="207" t="s">
        <v>1242</v>
      </c>
      <c r="P229" s="207">
        <v>30000</v>
      </c>
      <c r="Q229" s="227"/>
      <c r="R229" s="207" t="s">
        <v>1354</v>
      </c>
      <c r="S229" s="262">
        <v>0</v>
      </c>
      <c r="T229" s="205">
        <f t="shared" si="3"/>
        <v>330000</v>
      </c>
      <c r="U229" s="295"/>
    </row>
    <row r="230" spans="2:21" x14ac:dyDescent="0.3">
      <c r="B230" s="227"/>
      <c r="C230" s="227"/>
      <c r="D230" s="227"/>
      <c r="E230" s="227"/>
      <c r="F230" s="204" t="s">
        <v>113</v>
      </c>
      <c r="G230" s="205">
        <v>100000</v>
      </c>
      <c r="H230" s="227"/>
      <c r="I230" s="207" t="s">
        <v>1311</v>
      </c>
      <c r="J230" s="205">
        <v>100000</v>
      </c>
      <c r="K230" s="227"/>
      <c r="L230" s="255" t="s">
        <v>1207</v>
      </c>
      <c r="M230" s="214">
        <v>100000</v>
      </c>
      <c r="N230" s="227"/>
      <c r="O230" s="207" t="s">
        <v>1242</v>
      </c>
      <c r="P230" s="207">
        <v>30000</v>
      </c>
      <c r="Q230" s="227"/>
      <c r="R230" s="207" t="s">
        <v>1354</v>
      </c>
      <c r="S230" s="262">
        <v>0</v>
      </c>
      <c r="T230" s="205">
        <f t="shared" si="3"/>
        <v>330000</v>
      </c>
      <c r="U230" s="295"/>
    </row>
    <row r="231" spans="2:21" x14ac:dyDescent="0.3">
      <c r="B231" s="227"/>
      <c r="C231" s="227"/>
      <c r="D231" s="227"/>
      <c r="E231" s="227"/>
      <c r="F231" s="204" t="s">
        <v>116</v>
      </c>
      <c r="G231" s="205">
        <v>100000</v>
      </c>
      <c r="H231" s="227"/>
      <c r="I231" s="207" t="s">
        <v>1311</v>
      </c>
      <c r="J231" s="205">
        <v>100000</v>
      </c>
      <c r="K231" s="227"/>
      <c r="L231" s="255" t="s">
        <v>1207</v>
      </c>
      <c r="M231" s="205">
        <v>100000</v>
      </c>
      <c r="N231" s="227"/>
      <c r="O231" s="207" t="s">
        <v>1242</v>
      </c>
      <c r="P231" s="207">
        <v>30000</v>
      </c>
      <c r="Q231" s="227"/>
      <c r="R231" s="207" t="s">
        <v>1354</v>
      </c>
      <c r="S231" s="207">
        <v>0</v>
      </c>
      <c r="T231" s="205">
        <f t="shared" si="3"/>
        <v>330000</v>
      </c>
      <c r="U231" s="295"/>
    </row>
    <row r="232" spans="2:21" x14ac:dyDescent="0.3">
      <c r="B232" s="212"/>
      <c r="C232" s="213"/>
      <c r="D232" s="213"/>
      <c r="E232" s="230"/>
      <c r="F232" s="214" t="s">
        <v>155</v>
      </c>
      <c r="G232" s="214">
        <v>100000</v>
      </c>
      <c r="H232" s="230"/>
      <c r="I232" s="252" t="s">
        <v>1311</v>
      </c>
      <c r="J232" s="215">
        <v>50000</v>
      </c>
      <c r="K232" s="230"/>
      <c r="L232" s="253" t="s">
        <v>1207</v>
      </c>
      <c r="M232" s="214">
        <v>100000</v>
      </c>
      <c r="N232" s="230"/>
      <c r="O232" s="252" t="s">
        <v>1242</v>
      </c>
      <c r="P232" s="261">
        <v>30000</v>
      </c>
      <c r="Q232" s="230"/>
      <c r="R232" s="252" t="s">
        <v>1354</v>
      </c>
      <c r="S232" s="261">
        <v>0</v>
      </c>
      <c r="T232" s="249">
        <f t="shared" si="3"/>
        <v>280000</v>
      </c>
      <c r="U232" s="296"/>
    </row>
    <row r="233" spans="2:21" x14ac:dyDescent="0.3">
      <c r="B233" s="227"/>
      <c r="C233" s="227"/>
      <c r="D233" s="227"/>
      <c r="E233" s="227"/>
      <c r="F233" s="206" t="s">
        <v>1288</v>
      </c>
      <c r="G233" s="205">
        <v>100000</v>
      </c>
      <c r="H233" s="227"/>
      <c r="I233" s="207" t="s">
        <v>1311</v>
      </c>
      <c r="J233" s="205">
        <v>100000</v>
      </c>
      <c r="K233" s="227"/>
      <c r="L233" s="255" t="s">
        <v>1207</v>
      </c>
      <c r="M233" s="214">
        <v>100000</v>
      </c>
      <c r="N233" s="227"/>
      <c r="O233" s="207" t="s">
        <v>1242</v>
      </c>
      <c r="P233" s="207">
        <v>30000</v>
      </c>
      <c r="Q233" s="227"/>
      <c r="R233" s="207" t="s">
        <v>1354</v>
      </c>
      <c r="S233" s="262">
        <v>0</v>
      </c>
      <c r="T233" s="205">
        <f t="shared" si="3"/>
        <v>330000</v>
      </c>
      <c r="U233" s="295"/>
    </row>
    <row r="234" spans="2:21" x14ac:dyDescent="0.3">
      <c r="B234" s="227"/>
      <c r="C234" s="227"/>
      <c r="D234" s="227"/>
      <c r="E234" s="227"/>
      <c r="F234" s="206" t="s">
        <v>1260</v>
      </c>
      <c r="G234" s="205">
        <v>100000</v>
      </c>
      <c r="H234" s="227"/>
      <c r="I234" s="207" t="s">
        <v>1311</v>
      </c>
      <c r="J234" s="205">
        <v>100000</v>
      </c>
      <c r="K234" s="227"/>
      <c r="L234" s="255" t="s">
        <v>1207</v>
      </c>
      <c r="M234" s="214">
        <v>100000</v>
      </c>
      <c r="N234" s="227"/>
      <c r="O234" s="207" t="s">
        <v>1242</v>
      </c>
      <c r="P234" s="207">
        <v>30000</v>
      </c>
      <c r="Q234" s="227"/>
      <c r="R234" s="207" t="s">
        <v>1354</v>
      </c>
      <c r="S234" s="262">
        <v>0</v>
      </c>
      <c r="T234" s="205">
        <f t="shared" si="3"/>
        <v>330000</v>
      </c>
      <c r="U234" s="295"/>
    </row>
    <row r="235" spans="2:21" x14ac:dyDescent="0.3">
      <c r="B235" s="227"/>
      <c r="C235" s="227"/>
      <c r="D235" s="227"/>
      <c r="E235" s="227"/>
      <c r="F235" s="206" t="s">
        <v>1269</v>
      </c>
      <c r="G235" s="205">
        <v>100000</v>
      </c>
      <c r="H235" s="227"/>
      <c r="I235" s="207" t="s">
        <v>1313</v>
      </c>
      <c r="J235" s="205">
        <v>100000</v>
      </c>
      <c r="K235" s="227"/>
      <c r="L235" s="255" t="s">
        <v>1207</v>
      </c>
      <c r="M235" s="205">
        <v>100000</v>
      </c>
      <c r="N235" s="227"/>
      <c r="O235" s="207" t="s">
        <v>1243</v>
      </c>
      <c r="P235" s="207">
        <v>30000</v>
      </c>
      <c r="Q235" s="227"/>
      <c r="R235" s="207" t="s">
        <v>1354</v>
      </c>
      <c r="S235" s="207">
        <v>0</v>
      </c>
      <c r="T235" s="205">
        <f t="shared" si="3"/>
        <v>330000</v>
      </c>
      <c r="U235" s="295"/>
    </row>
    <row r="236" spans="2:21" x14ac:dyDescent="0.3">
      <c r="B236" s="227"/>
      <c r="C236" s="227"/>
      <c r="D236" s="227"/>
      <c r="E236" s="227"/>
      <c r="F236" s="204" t="s">
        <v>109</v>
      </c>
      <c r="G236" s="205">
        <v>100000</v>
      </c>
      <c r="H236" s="227"/>
      <c r="I236" s="205" t="s">
        <v>159</v>
      </c>
      <c r="J236" s="205">
        <v>100000</v>
      </c>
      <c r="K236" s="227"/>
      <c r="L236" s="255" t="s">
        <v>1207</v>
      </c>
      <c r="M236" s="214">
        <v>100000</v>
      </c>
      <c r="N236" s="227"/>
      <c r="O236" s="207" t="s">
        <v>1243</v>
      </c>
      <c r="P236" s="207">
        <v>30000</v>
      </c>
      <c r="Q236" s="227"/>
      <c r="R236" s="207" t="s">
        <v>1354</v>
      </c>
      <c r="S236" s="262">
        <v>0</v>
      </c>
      <c r="T236" s="205">
        <f t="shared" si="3"/>
        <v>330000</v>
      </c>
      <c r="U236" s="295"/>
    </row>
    <row r="237" spans="2:21" x14ac:dyDescent="0.3">
      <c r="B237" s="227"/>
      <c r="C237" s="227"/>
      <c r="D237" s="227"/>
      <c r="E237" s="227"/>
      <c r="F237" s="204" t="s">
        <v>1351</v>
      </c>
      <c r="G237" s="205">
        <v>100000</v>
      </c>
      <c r="H237" s="227"/>
      <c r="I237" s="205" t="s">
        <v>159</v>
      </c>
      <c r="J237" s="205">
        <v>100000</v>
      </c>
      <c r="K237" s="227"/>
      <c r="L237" s="255" t="s">
        <v>1207</v>
      </c>
      <c r="M237" s="214">
        <v>100000</v>
      </c>
      <c r="N237" s="227"/>
      <c r="O237" s="207" t="s">
        <v>1243</v>
      </c>
      <c r="P237" s="207">
        <v>30000</v>
      </c>
      <c r="Q237" s="227"/>
      <c r="R237" s="207" t="s">
        <v>1354</v>
      </c>
      <c r="S237" s="262">
        <v>0</v>
      </c>
      <c r="T237" s="205">
        <f t="shared" si="3"/>
        <v>330000</v>
      </c>
      <c r="U237" s="295"/>
    </row>
    <row r="238" spans="2:21" x14ac:dyDescent="0.3">
      <c r="B238" s="227"/>
      <c r="C238" s="227"/>
      <c r="D238" s="227"/>
      <c r="E238" s="227"/>
      <c r="F238" s="204" t="s">
        <v>112</v>
      </c>
      <c r="G238" s="205">
        <v>100000</v>
      </c>
      <c r="H238" s="227"/>
      <c r="I238" s="205" t="s">
        <v>159</v>
      </c>
      <c r="J238" s="205">
        <v>100000</v>
      </c>
      <c r="K238" s="227"/>
      <c r="L238" s="255" t="s">
        <v>1207</v>
      </c>
      <c r="M238" s="214">
        <v>100000</v>
      </c>
      <c r="N238" s="227"/>
      <c r="O238" s="207" t="s">
        <v>1243</v>
      </c>
      <c r="P238" s="207">
        <v>30000</v>
      </c>
      <c r="Q238" s="227"/>
      <c r="R238" s="207" t="s">
        <v>1354</v>
      </c>
      <c r="S238" s="262">
        <v>0</v>
      </c>
      <c r="T238" s="205">
        <f t="shared" si="3"/>
        <v>330000</v>
      </c>
      <c r="U238" s="295"/>
    </row>
    <row r="239" spans="2:21" x14ac:dyDescent="0.3">
      <c r="B239" s="227"/>
      <c r="C239" s="227"/>
      <c r="D239" s="227"/>
      <c r="E239" s="227"/>
      <c r="F239" s="204" t="s">
        <v>113</v>
      </c>
      <c r="G239" s="205">
        <v>100000</v>
      </c>
      <c r="H239" s="227"/>
      <c r="I239" s="205" t="s">
        <v>159</v>
      </c>
      <c r="J239" s="205">
        <v>100000</v>
      </c>
      <c r="K239" s="227"/>
      <c r="L239" s="255" t="s">
        <v>1207</v>
      </c>
      <c r="M239" s="214">
        <v>100000</v>
      </c>
      <c r="N239" s="227"/>
      <c r="O239" s="207" t="s">
        <v>1243</v>
      </c>
      <c r="P239" s="207">
        <v>30000</v>
      </c>
      <c r="Q239" s="227"/>
      <c r="R239" s="207" t="s">
        <v>1354</v>
      </c>
      <c r="S239" s="262">
        <v>0</v>
      </c>
      <c r="T239" s="205">
        <f t="shared" si="3"/>
        <v>330000</v>
      </c>
      <c r="U239" s="295"/>
    </row>
    <row r="240" spans="2:21" x14ac:dyDescent="0.3">
      <c r="B240" s="227"/>
      <c r="C240" s="227"/>
      <c r="D240" s="227"/>
      <c r="E240" s="227"/>
      <c r="F240" s="204" t="s">
        <v>116</v>
      </c>
      <c r="G240" s="205">
        <v>100000</v>
      </c>
      <c r="H240" s="227"/>
      <c r="I240" s="205" t="s">
        <v>159</v>
      </c>
      <c r="J240" s="205">
        <v>100000</v>
      </c>
      <c r="K240" s="227"/>
      <c r="L240" s="255" t="s">
        <v>1207</v>
      </c>
      <c r="M240" s="205">
        <v>100000</v>
      </c>
      <c r="N240" s="227"/>
      <c r="O240" s="207" t="s">
        <v>1243</v>
      </c>
      <c r="P240" s="207">
        <v>30000</v>
      </c>
      <c r="Q240" s="227"/>
      <c r="R240" s="207" t="s">
        <v>1354</v>
      </c>
      <c r="S240" s="207">
        <v>0</v>
      </c>
      <c r="T240" s="205">
        <f t="shared" si="3"/>
        <v>330000</v>
      </c>
      <c r="U240" s="295"/>
    </row>
    <row r="241" spans="2:21" x14ac:dyDescent="0.3">
      <c r="B241" s="212"/>
      <c r="C241" s="213"/>
      <c r="D241" s="213"/>
      <c r="E241" s="230"/>
      <c r="F241" s="214" t="s">
        <v>155</v>
      </c>
      <c r="G241" s="214">
        <v>100000</v>
      </c>
      <c r="H241" s="230"/>
      <c r="I241" s="216" t="s">
        <v>159</v>
      </c>
      <c r="J241" s="215">
        <v>50000</v>
      </c>
      <c r="K241" s="230"/>
      <c r="L241" s="253" t="s">
        <v>1207</v>
      </c>
      <c r="M241" s="214">
        <v>100000</v>
      </c>
      <c r="N241" s="230"/>
      <c r="O241" s="252" t="s">
        <v>1243</v>
      </c>
      <c r="P241" s="261">
        <v>30000</v>
      </c>
      <c r="Q241" s="230"/>
      <c r="R241" s="252" t="s">
        <v>1354</v>
      </c>
      <c r="S241" s="261">
        <v>0</v>
      </c>
      <c r="T241" s="249">
        <f t="shared" si="3"/>
        <v>280000</v>
      </c>
      <c r="U241" s="296"/>
    </row>
    <row r="242" spans="2:21" x14ac:dyDescent="0.3">
      <c r="B242" s="227"/>
      <c r="C242" s="227"/>
      <c r="D242" s="227"/>
      <c r="E242" s="227"/>
      <c r="F242" s="206" t="s">
        <v>1288</v>
      </c>
      <c r="G242" s="205">
        <v>100000</v>
      </c>
      <c r="H242" s="227"/>
      <c r="I242" s="205" t="s">
        <v>159</v>
      </c>
      <c r="J242" s="205">
        <v>100000</v>
      </c>
      <c r="K242" s="227"/>
      <c r="L242" s="255" t="s">
        <v>1207</v>
      </c>
      <c r="M242" s="214">
        <v>100000</v>
      </c>
      <c r="N242" s="227"/>
      <c r="O242" s="207" t="s">
        <v>1243</v>
      </c>
      <c r="P242" s="207">
        <v>30000</v>
      </c>
      <c r="Q242" s="227"/>
      <c r="R242" s="207" t="s">
        <v>1354</v>
      </c>
      <c r="S242" s="262">
        <v>0</v>
      </c>
      <c r="T242" s="205">
        <f t="shared" si="3"/>
        <v>330000</v>
      </c>
      <c r="U242" s="295"/>
    </row>
    <row r="243" spans="2:21" x14ac:dyDescent="0.3">
      <c r="B243" s="227"/>
      <c r="C243" s="227"/>
      <c r="D243" s="227"/>
      <c r="E243" s="227"/>
      <c r="F243" s="206" t="s">
        <v>1260</v>
      </c>
      <c r="G243" s="205">
        <v>100000</v>
      </c>
      <c r="H243" s="227"/>
      <c r="I243" s="205" t="s">
        <v>159</v>
      </c>
      <c r="J243" s="205">
        <v>100000</v>
      </c>
      <c r="K243" s="227"/>
      <c r="L243" s="255" t="s">
        <v>1207</v>
      </c>
      <c r="M243" s="214">
        <v>100000</v>
      </c>
      <c r="N243" s="227"/>
      <c r="O243" s="207" t="s">
        <v>1243</v>
      </c>
      <c r="P243" s="207">
        <v>30000</v>
      </c>
      <c r="Q243" s="227"/>
      <c r="R243" s="207" t="s">
        <v>1354</v>
      </c>
      <c r="S243" s="262">
        <v>0</v>
      </c>
      <c r="T243" s="205">
        <f t="shared" si="3"/>
        <v>330000</v>
      </c>
      <c r="U243" s="295"/>
    </row>
    <row r="244" spans="2:21" x14ac:dyDescent="0.3">
      <c r="B244" s="227"/>
      <c r="C244" s="227"/>
      <c r="D244" s="227"/>
      <c r="E244" s="227"/>
      <c r="F244" s="204" t="s">
        <v>109</v>
      </c>
      <c r="G244" s="205">
        <v>100000</v>
      </c>
      <c r="H244" s="227"/>
      <c r="I244" s="207" t="s">
        <v>1311</v>
      </c>
      <c r="J244" s="205">
        <v>100000</v>
      </c>
      <c r="K244" s="227"/>
      <c r="L244" s="255" t="s">
        <v>1207</v>
      </c>
      <c r="M244" s="214">
        <v>100000</v>
      </c>
      <c r="N244" s="227"/>
      <c r="O244" s="207" t="s">
        <v>1243</v>
      </c>
      <c r="P244" s="207">
        <v>30000</v>
      </c>
      <c r="Q244" s="227"/>
      <c r="R244" s="207" t="s">
        <v>1354</v>
      </c>
      <c r="S244" s="262">
        <v>0</v>
      </c>
      <c r="T244" s="205">
        <f t="shared" si="3"/>
        <v>330000</v>
      </c>
      <c r="U244" s="295"/>
    </row>
    <row r="245" spans="2:21" x14ac:dyDescent="0.3">
      <c r="B245" s="227"/>
      <c r="C245" s="227"/>
      <c r="D245" s="227"/>
      <c r="E245" s="227"/>
      <c r="F245" s="204" t="s">
        <v>1351</v>
      </c>
      <c r="G245" s="205">
        <v>100000</v>
      </c>
      <c r="H245" s="227"/>
      <c r="I245" s="207" t="s">
        <v>1311</v>
      </c>
      <c r="J245" s="205">
        <v>100000</v>
      </c>
      <c r="K245" s="227"/>
      <c r="L245" s="255" t="s">
        <v>1207</v>
      </c>
      <c r="M245" s="214">
        <v>100000</v>
      </c>
      <c r="N245" s="227"/>
      <c r="O245" s="207" t="s">
        <v>1243</v>
      </c>
      <c r="P245" s="207">
        <v>30000</v>
      </c>
      <c r="Q245" s="227"/>
      <c r="R245" s="207" t="s">
        <v>1354</v>
      </c>
      <c r="S245" s="262">
        <v>0</v>
      </c>
      <c r="T245" s="205">
        <f t="shared" si="3"/>
        <v>330000</v>
      </c>
      <c r="U245" s="295"/>
    </row>
    <row r="246" spans="2:21" x14ac:dyDescent="0.3">
      <c r="B246" s="227"/>
      <c r="C246" s="227"/>
      <c r="D246" s="227"/>
      <c r="E246" s="227"/>
      <c r="F246" s="204" t="s">
        <v>112</v>
      </c>
      <c r="G246" s="205">
        <v>100000</v>
      </c>
      <c r="H246" s="227"/>
      <c r="I246" s="207" t="s">
        <v>1311</v>
      </c>
      <c r="J246" s="205">
        <v>100000</v>
      </c>
      <c r="K246" s="227"/>
      <c r="L246" s="255" t="s">
        <v>1207</v>
      </c>
      <c r="M246" s="214">
        <v>100000</v>
      </c>
      <c r="N246" s="227"/>
      <c r="O246" s="207" t="s">
        <v>1243</v>
      </c>
      <c r="P246" s="207">
        <v>30000</v>
      </c>
      <c r="Q246" s="227"/>
      <c r="R246" s="207" t="s">
        <v>1354</v>
      </c>
      <c r="S246" s="262">
        <v>0</v>
      </c>
      <c r="T246" s="205">
        <f t="shared" si="3"/>
        <v>330000</v>
      </c>
      <c r="U246" s="295"/>
    </row>
    <row r="247" spans="2:21" x14ac:dyDescent="0.3">
      <c r="B247" s="227"/>
      <c r="C247" s="227"/>
      <c r="D247" s="227"/>
      <c r="E247" s="227"/>
      <c r="F247" s="204" t="s">
        <v>113</v>
      </c>
      <c r="G247" s="205">
        <v>100000</v>
      </c>
      <c r="H247" s="227"/>
      <c r="I247" s="207" t="s">
        <v>1311</v>
      </c>
      <c r="J247" s="205">
        <v>100000</v>
      </c>
      <c r="K247" s="227"/>
      <c r="L247" s="255" t="s">
        <v>1207</v>
      </c>
      <c r="M247" s="214">
        <v>100000</v>
      </c>
      <c r="N247" s="227"/>
      <c r="O247" s="207" t="s">
        <v>1243</v>
      </c>
      <c r="P247" s="207">
        <v>30000</v>
      </c>
      <c r="Q247" s="227"/>
      <c r="R247" s="207" t="s">
        <v>1354</v>
      </c>
      <c r="S247" s="262">
        <v>0</v>
      </c>
      <c r="T247" s="205">
        <f t="shared" si="3"/>
        <v>330000</v>
      </c>
      <c r="U247" s="295"/>
    </row>
    <row r="248" spans="2:21" x14ac:dyDescent="0.3">
      <c r="B248" s="227"/>
      <c r="C248" s="227"/>
      <c r="D248" s="227"/>
      <c r="E248" s="227"/>
      <c r="F248" s="204" t="s">
        <v>116</v>
      </c>
      <c r="G248" s="205">
        <v>100000</v>
      </c>
      <c r="H248" s="227"/>
      <c r="I248" s="207" t="s">
        <v>1311</v>
      </c>
      <c r="J248" s="205">
        <v>100000</v>
      </c>
      <c r="K248" s="227"/>
      <c r="L248" s="255" t="s">
        <v>1207</v>
      </c>
      <c r="M248" s="205">
        <v>100000</v>
      </c>
      <c r="N248" s="227"/>
      <c r="O248" s="207" t="s">
        <v>1243</v>
      </c>
      <c r="P248" s="207">
        <v>30000</v>
      </c>
      <c r="Q248" s="227"/>
      <c r="R248" s="207" t="s">
        <v>1354</v>
      </c>
      <c r="S248" s="207">
        <v>0</v>
      </c>
      <c r="T248" s="205">
        <f t="shared" si="3"/>
        <v>330000</v>
      </c>
      <c r="U248" s="295"/>
    </row>
    <row r="249" spans="2:21" x14ac:dyDescent="0.3">
      <c r="B249" s="212"/>
      <c r="C249" s="213"/>
      <c r="D249" s="213"/>
      <c r="E249" s="230"/>
      <c r="F249" s="214" t="s">
        <v>155</v>
      </c>
      <c r="G249" s="214">
        <v>100000</v>
      </c>
      <c r="H249" s="230"/>
      <c r="I249" s="252" t="s">
        <v>1311</v>
      </c>
      <c r="J249" s="215">
        <v>50000</v>
      </c>
      <c r="K249" s="230"/>
      <c r="L249" s="253" t="s">
        <v>1207</v>
      </c>
      <c r="M249" s="214">
        <v>100000</v>
      </c>
      <c r="N249" s="230"/>
      <c r="O249" s="252" t="s">
        <v>1243</v>
      </c>
      <c r="P249" s="261">
        <v>30000</v>
      </c>
      <c r="Q249" s="230"/>
      <c r="R249" s="252" t="s">
        <v>1354</v>
      </c>
      <c r="S249" s="261">
        <v>0</v>
      </c>
      <c r="T249" s="249">
        <f t="shared" si="3"/>
        <v>280000</v>
      </c>
      <c r="U249" s="296"/>
    </row>
    <row r="250" spans="2:21" x14ac:dyDescent="0.3">
      <c r="B250" s="227"/>
      <c r="C250" s="227"/>
      <c r="D250" s="227"/>
      <c r="E250" s="227"/>
      <c r="F250" s="206" t="s">
        <v>1288</v>
      </c>
      <c r="G250" s="205">
        <v>100000</v>
      </c>
      <c r="H250" s="227"/>
      <c r="I250" s="207" t="s">
        <v>1311</v>
      </c>
      <c r="J250" s="205">
        <v>100000</v>
      </c>
      <c r="K250" s="227"/>
      <c r="L250" s="255" t="s">
        <v>1207</v>
      </c>
      <c r="M250" s="214">
        <v>100000</v>
      </c>
      <c r="N250" s="227"/>
      <c r="O250" s="207" t="s">
        <v>1243</v>
      </c>
      <c r="P250" s="207">
        <v>30000</v>
      </c>
      <c r="Q250" s="227"/>
      <c r="R250" s="207" t="s">
        <v>1354</v>
      </c>
      <c r="S250" s="262">
        <v>0</v>
      </c>
      <c r="T250" s="205">
        <f t="shared" si="3"/>
        <v>330000</v>
      </c>
      <c r="U250" s="295"/>
    </row>
    <row r="251" spans="2:21" x14ac:dyDescent="0.3">
      <c r="B251" s="227"/>
      <c r="C251" s="227"/>
      <c r="D251" s="227"/>
      <c r="E251" s="227"/>
      <c r="F251" s="206" t="s">
        <v>1260</v>
      </c>
      <c r="G251" s="205">
        <v>100000</v>
      </c>
      <c r="H251" s="227"/>
      <c r="I251" s="207" t="s">
        <v>1311</v>
      </c>
      <c r="J251" s="205">
        <v>100000</v>
      </c>
      <c r="K251" s="227"/>
      <c r="L251" s="255" t="s">
        <v>1207</v>
      </c>
      <c r="M251" s="214">
        <v>100000</v>
      </c>
      <c r="N251" s="227"/>
      <c r="O251" s="207" t="s">
        <v>1243</v>
      </c>
      <c r="P251" s="207">
        <v>30000</v>
      </c>
      <c r="Q251" s="227"/>
      <c r="R251" s="207" t="s">
        <v>1354</v>
      </c>
      <c r="S251" s="262">
        <v>0</v>
      </c>
      <c r="T251" s="205">
        <f t="shared" si="3"/>
        <v>330000</v>
      </c>
      <c r="U251" s="295"/>
    </row>
    <row r="252" spans="2:21" x14ac:dyDescent="0.3">
      <c r="B252" s="226"/>
      <c r="C252" s="226"/>
      <c r="D252" s="226"/>
      <c r="E252" s="226" t="s">
        <v>160</v>
      </c>
      <c r="F252" s="250" t="s">
        <v>1257</v>
      </c>
      <c r="G252" s="203">
        <v>100000</v>
      </c>
      <c r="H252" s="226" t="s">
        <v>161</v>
      </c>
      <c r="I252" s="203" t="s">
        <v>159</v>
      </c>
      <c r="J252" s="203">
        <v>100000</v>
      </c>
      <c r="K252" s="283" t="s">
        <v>1369</v>
      </c>
      <c r="L252" s="254" t="s">
        <v>1207</v>
      </c>
      <c r="M252" s="203">
        <v>100000</v>
      </c>
      <c r="N252" s="226" t="s">
        <v>1208</v>
      </c>
      <c r="O252" s="251" t="s">
        <v>1242</v>
      </c>
      <c r="P252" s="251">
        <v>30000</v>
      </c>
      <c r="Q252" s="226" t="s">
        <v>1366</v>
      </c>
      <c r="R252" s="251" t="s">
        <v>1354</v>
      </c>
      <c r="S252" s="251">
        <v>0</v>
      </c>
      <c r="T252" s="203">
        <f t="shared" si="3"/>
        <v>330000</v>
      </c>
      <c r="U252" s="295"/>
    </row>
    <row r="253" spans="2:21" x14ac:dyDescent="0.3">
      <c r="B253" s="227"/>
      <c r="C253" s="227"/>
      <c r="D253" s="227"/>
      <c r="E253" s="227"/>
      <c r="F253" s="206" t="s">
        <v>1257</v>
      </c>
      <c r="G253" s="205">
        <v>100000</v>
      </c>
      <c r="H253" s="227"/>
      <c r="I253" s="207" t="s">
        <v>1311</v>
      </c>
      <c r="J253" s="205">
        <v>100000</v>
      </c>
      <c r="K253" s="227"/>
      <c r="L253" s="255" t="s">
        <v>1207</v>
      </c>
      <c r="M253" s="205">
        <v>100000</v>
      </c>
      <c r="N253" s="227"/>
      <c r="O253" s="207" t="s">
        <v>1242</v>
      </c>
      <c r="P253" s="207">
        <v>30000</v>
      </c>
      <c r="Q253" s="227"/>
      <c r="R253" s="207" t="s">
        <v>1354</v>
      </c>
      <c r="S253" s="207">
        <v>0</v>
      </c>
      <c r="T253" s="205">
        <f t="shared" si="3"/>
        <v>330000</v>
      </c>
      <c r="U253" s="295"/>
    </row>
    <row r="254" spans="2:21" x14ac:dyDescent="0.3">
      <c r="B254" s="227"/>
      <c r="C254" s="227"/>
      <c r="D254" s="227"/>
      <c r="E254" s="227"/>
      <c r="F254" s="206" t="s">
        <v>1257</v>
      </c>
      <c r="G254" s="205">
        <v>100000</v>
      </c>
      <c r="H254" s="227"/>
      <c r="I254" s="205" t="s">
        <v>159</v>
      </c>
      <c r="J254" s="205">
        <v>100000</v>
      </c>
      <c r="K254" s="227"/>
      <c r="L254" s="255" t="s">
        <v>1207</v>
      </c>
      <c r="M254" s="205">
        <v>100000</v>
      </c>
      <c r="N254" s="227"/>
      <c r="O254" s="207" t="s">
        <v>1243</v>
      </c>
      <c r="P254" s="207">
        <v>30000</v>
      </c>
      <c r="Q254" s="227"/>
      <c r="R254" s="207" t="s">
        <v>1354</v>
      </c>
      <c r="S254" s="207">
        <v>0</v>
      </c>
      <c r="T254" s="205">
        <f t="shared" si="3"/>
        <v>330000</v>
      </c>
      <c r="U254" s="295"/>
    </row>
    <row r="255" spans="2:21" x14ac:dyDescent="0.3">
      <c r="B255" s="227"/>
      <c r="C255" s="227"/>
      <c r="D255" s="227"/>
      <c r="E255" s="227"/>
      <c r="F255" s="206" t="s">
        <v>1257</v>
      </c>
      <c r="G255" s="205">
        <v>100000</v>
      </c>
      <c r="H255" s="227"/>
      <c r="I255" s="207" t="s">
        <v>1311</v>
      </c>
      <c r="J255" s="205">
        <v>100000</v>
      </c>
      <c r="K255" s="227"/>
      <c r="L255" s="255" t="s">
        <v>1207</v>
      </c>
      <c r="M255" s="205">
        <v>100000</v>
      </c>
      <c r="N255" s="227"/>
      <c r="O255" s="207" t="s">
        <v>1243</v>
      </c>
      <c r="P255" s="207">
        <v>30000</v>
      </c>
      <c r="Q255" s="227"/>
      <c r="R255" s="207" t="s">
        <v>1354</v>
      </c>
      <c r="S255" s="207">
        <v>0</v>
      </c>
      <c r="T255" s="205">
        <f t="shared" si="3"/>
        <v>330000</v>
      </c>
      <c r="U255" s="295"/>
    </row>
    <row r="256" spans="2:21" x14ac:dyDescent="0.3">
      <c r="B256" s="227"/>
      <c r="C256" s="227"/>
      <c r="D256" s="227"/>
      <c r="E256" s="227"/>
      <c r="F256" s="206" t="s">
        <v>1272</v>
      </c>
      <c r="G256" s="205">
        <v>100000</v>
      </c>
      <c r="H256" s="227"/>
      <c r="I256" s="207" t="s">
        <v>1311</v>
      </c>
      <c r="J256" s="205">
        <v>100000</v>
      </c>
      <c r="K256" s="227"/>
      <c r="L256" s="255" t="s">
        <v>1207</v>
      </c>
      <c r="M256" s="205">
        <v>100000</v>
      </c>
      <c r="N256" s="227"/>
      <c r="O256" s="207" t="s">
        <v>1242</v>
      </c>
      <c r="P256" s="207">
        <v>30000</v>
      </c>
      <c r="Q256" s="227"/>
      <c r="R256" s="207" t="s">
        <v>1354</v>
      </c>
      <c r="S256" s="207">
        <v>0</v>
      </c>
      <c r="T256" s="205">
        <f t="shared" si="3"/>
        <v>330000</v>
      </c>
      <c r="U256" s="295"/>
    </row>
    <row r="257" spans="2:21" x14ac:dyDescent="0.3">
      <c r="B257" s="227"/>
      <c r="C257" s="227"/>
      <c r="D257" s="227"/>
      <c r="E257" s="227"/>
      <c r="F257" s="206" t="s">
        <v>1272</v>
      </c>
      <c r="G257" s="205">
        <v>100000</v>
      </c>
      <c r="H257" s="227"/>
      <c r="I257" s="207" t="s">
        <v>1311</v>
      </c>
      <c r="J257" s="205">
        <v>100000</v>
      </c>
      <c r="K257" s="227"/>
      <c r="L257" s="255" t="s">
        <v>1207</v>
      </c>
      <c r="M257" s="205">
        <v>100000</v>
      </c>
      <c r="N257" s="227"/>
      <c r="O257" s="207" t="s">
        <v>1243</v>
      </c>
      <c r="P257" s="207">
        <v>30000</v>
      </c>
      <c r="Q257" s="227"/>
      <c r="R257" s="207" t="s">
        <v>1354</v>
      </c>
      <c r="S257" s="207">
        <v>0</v>
      </c>
      <c r="T257" s="205">
        <f t="shared" si="3"/>
        <v>330000</v>
      </c>
      <c r="U257" s="295"/>
    </row>
    <row r="258" spans="2:21" x14ac:dyDescent="0.3">
      <c r="B258" s="227"/>
      <c r="C258" s="227"/>
      <c r="D258" s="227"/>
      <c r="E258" s="227"/>
      <c r="F258" s="204" t="s">
        <v>1187</v>
      </c>
      <c r="G258" s="205">
        <v>100000</v>
      </c>
      <c r="H258" s="227"/>
      <c r="I258" s="205" t="s">
        <v>159</v>
      </c>
      <c r="J258" s="205">
        <v>100000</v>
      </c>
      <c r="K258" s="227"/>
      <c r="L258" s="255" t="s">
        <v>1207</v>
      </c>
      <c r="M258" s="205">
        <v>100000</v>
      </c>
      <c r="N258" s="227"/>
      <c r="O258" s="207" t="s">
        <v>1242</v>
      </c>
      <c r="P258" s="207">
        <v>30000</v>
      </c>
      <c r="Q258" s="227"/>
      <c r="R258" s="207" t="s">
        <v>1354</v>
      </c>
      <c r="S258" s="207">
        <v>0</v>
      </c>
      <c r="T258" s="205">
        <f t="shared" si="3"/>
        <v>330000</v>
      </c>
      <c r="U258" s="295"/>
    </row>
    <row r="259" spans="2:21" x14ac:dyDescent="0.3">
      <c r="B259" s="227"/>
      <c r="C259" s="227"/>
      <c r="D259" s="227"/>
      <c r="E259" s="227"/>
      <c r="F259" s="204" t="s">
        <v>1187</v>
      </c>
      <c r="G259" s="205">
        <v>100000</v>
      </c>
      <c r="H259" s="227"/>
      <c r="I259" s="207" t="s">
        <v>1311</v>
      </c>
      <c r="J259" s="205">
        <v>100000</v>
      </c>
      <c r="K259" s="227"/>
      <c r="L259" s="255" t="s">
        <v>1207</v>
      </c>
      <c r="M259" s="205">
        <v>100000</v>
      </c>
      <c r="N259" s="227"/>
      <c r="O259" s="207" t="s">
        <v>1242</v>
      </c>
      <c r="P259" s="207">
        <v>30000</v>
      </c>
      <c r="Q259" s="227"/>
      <c r="R259" s="207" t="s">
        <v>1354</v>
      </c>
      <c r="S259" s="207">
        <v>0</v>
      </c>
      <c r="T259" s="205">
        <f t="shared" si="3"/>
        <v>330000</v>
      </c>
      <c r="U259" s="295"/>
    </row>
    <row r="260" spans="2:21" x14ac:dyDescent="0.3">
      <c r="B260" s="227"/>
      <c r="C260" s="227"/>
      <c r="D260" s="227"/>
      <c r="E260" s="227"/>
      <c r="F260" s="204" t="s">
        <v>1187</v>
      </c>
      <c r="G260" s="205">
        <v>100000</v>
      </c>
      <c r="H260" s="227"/>
      <c r="I260" s="205" t="s">
        <v>159</v>
      </c>
      <c r="J260" s="205">
        <v>100000</v>
      </c>
      <c r="K260" s="227"/>
      <c r="L260" s="255" t="s">
        <v>1207</v>
      </c>
      <c r="M260" s="205">
        <v>100000</v>
      </c>
      <c r="N260" s="227"/>
      <c r="O260" s="207" t="s">
        <v>1243</v>
      </c>
      <c r="P260" s="207">
        <v>30000</v>
      </c>
      <c r="Q260" s="227"/>
      <c r="R260" s="207" t="s">
        <v>1354</v>
      </c>
      <c r="S260" s="207">
        <v>0</v>
      </c>
      <c r="T260" s="205">
        <f t="shared" si="3"/>
        <v>330000</v>
      </c>
      <c r="U260" s="295"/>
    </row>
    <row r="261" spans="2:21" x14ac:dyDescent="0.3">
      <c r="B261" s="227"/>
      <c r="C261" s="227"/>
      <c r="D261" s="227"/>
      <c r="E261" s="227"/>
      <c r="F261" s="204" t="s">
        <v>1187</v>
      </c>
      <c r="G261" s="205">
        <v>100000</v>
      </c>
      <c r="H261" s="227"/>
      <c r="I261" s="207" t="s">
        <v>1311</v>
      </c>
      <c r="J261" s="205">
        <v>100000</v>
      </c>
      <c r="K261" s="227"/>
      <c r="L261" s="255" t="s">
        <v>1207</v>
      </c>
      <c r="M261" s="205">
        <v>100000</v>
      </c>
      <c r="N261" s="227"/>
      <c r="O261" s="207" t="s">
        <v>1243</v>
      </c>
      <c r="P261" s="207">
        <v>30000</v>
      </c>
      <c r="Q261" s="227"/>
      <c r="R261" s="207" t="s">
        <v>1354</v>
      </c>
      <c r="S261" s="207">
        <v>0</v>
      </c>
      <c r="T261" s="205">
        <f t="shared" si="3"/>
        <v>330000</v>
      </c>
      <c r="U261" s="295"/>
    </row>
    <row r="262" spans="2:21" x14ac:dyDescent="0.3">
      <c r="B262" s="212"/>
      <c r="C262" s="213"/>
      <c r="D262" s="213"/>
      <c r="E262" s="230"/>
      <c r="F262" s="285" t="s">
        <v>1266</v>
      </c>
      <c r="G262" s="214">
        <v>100000</v>
      </c>
      <c r="H262" s="230"/>
      <c r="I262" s="252" t="s">
        <v>1311</v>
      </c>
      <c r="J262" s="215">
        <v>50000</v>
      </c>
      <c r="K262" s="230"/>
      <c r="L262" s="253" t="s">
        <v>1207</v>
      </c>
      <c r="M262" s="214">
        <v>100000</v>
      </c>
      <c r="N262" s="230"/>
      <c r="O262" s="252" t="s">
        <v>1242</v>
      </c>
      <c r="P262" s="261">
        <v>30000</v>
      </c>
      <c r="Q262" s="230"/>
      <c r="R262" s="252" t="s">
        <v>1354</v>
      </c>
      <c r="S262" s="261">
        <v>0</v>
      </c>
      <c r="T262" s="249">
        <f t="shared" si="3"/>
        <v>280000</v>
      </c>
      <c r="U262" s="296"/>
    </row>
    <row r="263" spans="2:21" x14ac:dyDescent="0.3">
      <c r="B263" s="212"/>
      <c r="C263" s="213"/>
      <c r="D263" s="213"/>
      <c r="E263" s="230"/>
      <c r="F263" s="285" t="s">
        <v>1266</v>
      </c>
      <c r="G263" s="214">
        <v>100000</v>
      </c>
      <c r="H263" s="230"/>
      <c r="I263" s="252" t="s">
        <v>1311</v>
      </c>
      <c r="J263" s="215">
        <v>50000</v>
      </c>
      <c r="K263" s="230"/>
      <c r="L263" s="253" t="s">
        <v>1207</v>
      </c>
      <c r="M263" s="214">
        <v>100000</v>
      </c>
      <c r="N263" s="230"/>
      <c r="O263" s="252" t="s">
        <v>1243</v>
      </c>
      <c r="P263" s="261">
        <v>30000</v>
      </c>
      <c r="Q263" s="230"/>
      <c r="R263" s="252" t="s">
        <v>1354</v>
      </c>
      <c r="S263" s="261">
        <v>0</v>
      </c>
      <c r="T263" s="249">
        <f t="shared" si="3"/>
        <v>280000</v>
      </c>
      <c r="U263" s="296"/>
    </row>
    <row r="264" spans="2:21" x14ac:dyDescent="0.3">
      <c r="B264" s="226"/>
      <c r="C264" s="226"/>
      <c r="D264" s="226"/>
      <c r="E264" s="283" t="s">
        <v>107</v>
      </c>
      <c r="F264" s="250" t="s">
        <v>1284</v>
      </c>
      <c r="G264" s="203">
        <v>100000</v>
      </c>
      <c r="H264" s="283" t="s">
        <v>1390</v>
      </c>
      <c r="I264" s="203" t="s">
        <v>159</v>
      </c>
      <c r="J264" s="203">
        <v>100000</v>
      </c>
      <c r="K264" s="226" t="s">
        <v>1369</v>
      </c>
      <c r="L264" s="254" t="s">
        <v>1207</v>
      </c>
      <c r="M264" s="284">
        <v>100000</v>
      </c>
      <c r="N264" s="226" t="s">
        <v>1208</v>
      </c>
      <c r="O264" s="251" t="s">
        <v>1242</v>
      </c>
      <c r="P264" s="251">
        <v>30000</v>
      </c>
      <c r="Q264" s="226" t="s">
        <v>1366</v>
      </c>
      <c r="R264" s="251" t="s">
        <v>1354</v>
      </c>
      <c r="S264" s="294">
        <v>0</v>
      </c>
      <c r="T264" s="205">
        <f t="shared" ref="T264:T327" si="4">SUM(J264,G264,M264,P264,S264)</f>
        <v>330000</v>
      </c>
      <c r="U264" s="295"/>
    </row>
    <row r="265" spans="2:21" x14ac:dyDescent="0.3">
      <c r="B265" s="227"/>
      <c r="C265" s="227"/>
      <c r="D265" s="227"/>
      <c r="E265" s="227"/>
      <c r="F265" s="206" t="s">
        <v>1284</v>
      </c>
      <c r="G265" s="205">
        <v>100000</v>
      </c>
      <c r="H265" s="227"/>
      <c r="I265" s="207" t="s">
        <v>1311</v>
      </c>
      <c r="J265" s="205">
        <v>100000</v>
      </c>
      <c r="K265" s="227"/>
      <c r="L265" s="255" t="s">
        <v>1207</v>
      </c>
      <c r="M265" s="214">
        <v>100000</v>
      </c>
      <c r="N265" s="227"/>
      <c r="O265" s="207" t="s">
        <v>1242</v>
      </c>
      <c r="P265" s="207">
        <v>30000</v>
      </c>
      <c r="Q265" s="227"/>
      <c r="R265" s="207" t="s">
        <v>1354</v>
      </c>
      <c r="S265" s="262">
        <v>0</v>
      </c>
      <c r="T265" s="205">
        <f t="shared" si="4"/>
        <v>330000</v>
      </c>
      <c r="U265" s="295"/>
    </row>
    <row r="266" spans="2:21" x14ac:dyDescent="0.3">
      <c r="B266" s="227"/>
      <c r="C266" s="227"/>
      <c r="D266" s="227"/>
      <c r="E266" s="227"/>
      <c r="F266" s="206" t="s">
        <v>1284</v>
      </c>
      <c r="G266" s="205">
        <v>100000</v>
      </c>
      <c r="H266" s="227"/>
      <c r="I266" s="205" t="s">
        <v>159</v>
      </c>
      <c r="J266" s="205">
        <v>100000</v>
      </c>
      <c r="K266" s="227"/>
      <c r="L266" s="255" t="s">
        <v>1207</v>
      </c>
      <c r="M266" s="214">
        <v>100000</v>
      </c>
      <c r="N266" s="227"/>
      <c r="O266" s="207" t="s">
        <v>1243</v>
      </c>
      <c r="P266" s="207">
        <v>30000</v>
      </c>
      <c r="Q266" s="227"/>
      <c r="R266" s="207" t="s">
        <v>1354</v>
      </c>
      <c r="S266" s="262">
        <v>0</v>
      </c>
      <c r="T266" s="205">
        <f t="shared" si="4"/>
        <v>330000</v>
      </c>
      <c r="U266" s="295"/>
    </row>
    <row r="267" spans="2:21" x14ac:dyDescent="0.3">
      <c r="B267" s="227"/>
      <c r="C267" s="227"/>
      <c r="D267" s="227"/>
      <c r="E267" s="227"/>
      <c r="F267" s="206" t="s">
        <v>1284</v>
      </c>
      <c r="G267" s="205">
        <v>100000</v>
      </c>
      <c r="H267" s="227"/>
      <c r="I267" s="207" t="s">
        <v>1311</v>
      </c>
      <c r="J267" s="205">
        <v>100000</v>
      </c>
      <c r="K267" s="227"/>
      <c r="L267" s="255" t="s">
        <v>1207</v>
      </c>
      <c r="M267" s="214">
        <v>100000</v>
      </c>
      <c r="N267" s="227"/>
      <c r="O267" s="207" t="s">
        <v>1243</v>
      </c>
      <c r="P267" s="207">
        <v>30000</v>
      </c>
      <c r="Q267" s="227"/>
      <c r="R267" s="207" t="s">
        <v>1354</v>
      </c>
      <c r="S267" s="262">
        <v>0</v>
      </c>
      <c r="T267" s="205">
        <f t="shared" si="4"/>
        <v>330000</v>
      </c>
      <c r="U267" s="295"/>
    </row>
    <row r="268" spans="2:21" x14ac:dyDescent="0.3">
      <c r="B268" s="227"/>
      <c r="C268" s="227"/>
      <c r="D268" s="227"/>
      <c r="E268" s="227"/>
      <c r="F268" s="206" t="s">
        <v>1269</v>
      </c>
      <c r="G268" s="205">
        <v>100000</v>
      </c>
      <c r="H268" s="227"/>
      <c r="I268" s="207" t="s">
        <v>1313</v>
      </c>
      <c r="J268" s="205">
        <v>100000</v>
      </c>
      <c r="K268" s="227"/>
      <c r="L268" s="255" t="s">
        <v>226</v>
      </c>
      <c r="M268" s="205">
        <v>0</v>
      </c>
      <c r="N268" s="227"/>
      <c r="O268" s="207" t="s">
        <v>1207</v>
      </c>
      <c r="P268" s="207">
        <v>100000</v>
      </c>
      <c r="Q268" s="227"/>
      <c r="R268" s="207" t="s">
        <v>1355</v>
      </c>
      <c r="S268" s="207">
        <v>0</v>
      </c>
      <c r="T268" s="205">
        <f t="shared" si="4"/>
        <v>300000</v>
      </c>
      <c r="U268" s="208"/>
    </row>
    <row r="269" spans="2:21" x14ac:dyDescent="0.3">
      <c r="B269" s="227"/>
      <c r="C269" s="227"/>
      <c r="D269" s="227"/>
      <c r="E269" s="227"/>
      <c r="F269" s="204" t="s">
        <v>109</v>
      </c>
      <c r="G269" s="205">
        <v>100000</v>
      </c>
      <c r="H269" s="227"/>
      <c r="I269" s="205" t="s">
        <v>159</v>
      </c>
      <c r="J269" s="205">
        <v>100000</v>
      </c>
      <c r="K269" s="227"/>
      <c r="L269" s="255" t="s">
        <v>226</v>
      </c>
      <c r="M269" s="214">
        <v>0</v>
      </c>
      <c r="N269" s="227"/>
      <c r="O269" s="207" t="s">
        <v>1207</v>
      </c>
      <c r="P269" s="207">
        <v>100000</v>
      </c>
      <c r="Q269" s="227"/>
      <c r="R269" s="207" t="s">
        <v>1355</v>
      </c>
      <c r="S269" s="262">
        <v>0</v>
      </c>
      <c r="T269" s="205">
        <f t="shared" si="4"/>
        <v>300000</v>
      </c>
      <c r="U269" s="208"/>
    </row>
    <row r="270" spans="2:21" x14ac:dyDescent="0.3">
      <c r="B270" s="227"/>
      <c r="C270" s="227"/>
      <c r="D270" s="227"/>
      <c r="E270" s="227"/>
      <c r="F270" s="204" t="s">
        <v>1351</v>
      </c>
      <c r="G270" s="205">
        <v>100000</v>
      </c>
      <c r="H270" s="227"/>
      <c r="I270" s="205" t="s">
        <v>159</v>
      </c>
      <c r="J270" s="205">
        <v>100000</v>
      </c>
      <c r="K270" s="227"/>
      <c r="L270" s="255" t="s">
        <v>226</v>
      </c>
      <c r="M270" s="214">
        <v>0</v>
      </c>
      <c r="N270" s="227"/>
      <c r="O270" s="207" t="s">
        <v>1207</v>
      </c>
      <c r="P270" s="207">
        <v>100000</v>
      </c>
      <c r="Q270" s="227"/>
      <c r="R270" s="207" t="s">
        <v>1355</v>
      </c>
      <c r="S270" s="262">
        <v>0</v>
      </c>
      <c r="T270" s="205">
        <f t="shared" si="4"/>
        <v>300000</v>
      </c>
      <c r="U270" s="208"/>
    </row>
    <row r="271" spans="2:21" x14ac:dyDescent="0.3">
      <c r="B271" s="227"/>
      <c r="C271" s="227"/>
      <c r="D271" s="227"/>
      <c r="E271" s="227"/>
      <c r="F271" s="204" t="s">
        <v>112</v>
      </c>
      <c r="G271" s="205">
        <v>100000</v>
      </c>
      <c r="H271" s="227"/>
      <c r="I271" s="205" t="s">
        <v>159</v>
      </c>
      <c r="J271" s="205">
        <v>100000</v>
      </c>
      <c r="K271" s="227"/>
      <c r="L271" s="255" t="s">
        <v>226</v>
      </c>
      <c r="M271" s="214">
        <v>0</v>
      </c>
      <c r="N271" s="227"/>
      <c r="O271" s="207" t="s">
        <v>1207</v>
      </c>
      <c r="P271" s="207">
        <v>100000</v>
      </c>
      <c r="Q271" s="227"/>
      <c r="R271" s="207" t="s">
        <v>1355</v>
      </c>
      <c r="S271" s="262">
        <v>0</v>
      </c>
      <c r="T271" s="205">
        <f t="shared" si="4"/>
        <v>300000</v>
      </c>
      <c r="U271" s="208"/>
    </row>
    <row r="272" spans="2:21" x14ac:dyDescent="0.3">
      <c r="B272" s="227"/>
      <c r="C272" s="227"/>
      <c r="D272" s="227"/>
      <c r="E272" s="227"/>
      <c r="F272" s="204" t="s">
        <v>113</v>
      </c>
      <c r="G272" s="205">
        <v>100000</v>
      </c>
      <c r="H272" s="227"/>
      <c r="I272" s="205" t="s">
        <v>159</v>
      </c>
      <c r="J272" s="205">
        <v>100000</v>
      </c>
      <c r="K272" s="227"/>
      <c r="L272" s="255" t="s">
        <v>226</v>
      </c>
      <c r="M272" s="214">
        <v>0</v>
      </c>
      <c r="N272" s="227"/>
      <c r="O272" s="207" t="s">
        <v>1207</v>
      </c>
      <c r="P272" s="207">
        <v>100000</v>
      </c>
      <c r="Q272" s="227"/>
      <c r="R272" s="207" t="s">
        <v>1355</v>
      </c>
      <c r="S272" s="262">
        <v>0</v>
      </c>
      <c r="T272" s="205">
        <f t="shared" si="4"/>
        <v>300000</v>
      </c>
      <c r="U272" s="208"/>
    </row>
    <row r="273" spans="2:21" x14ac:dyDescent="0.3">
      <c r="B273" s="227"/>
      <c r="C273" s="227"/>
      <c r="D273" s="227"/>
      <c r="E273" s="227"/>
      <c r="F273" s="204" t="s">
        <v>116</v>
      </c>
      <c r="G273" s="205">
        <v>100000</v>
      </c>
      <c r="H273" s="227"/>
      <c r="I273" s="205" t="s">
        <v>159</v>
      </c>
      <c r="J273" s="205">
        <v>100000</v>
      </c>
      <c r="K273" s="227"/>
      <c r="L273" s="255" t="s">
        <v>226</v>
      </c>
      <c r="M273" s="205">
        <v>0</v>
      </c>
      <c r="N273" s="227"/>
      <c r="O273" s="207" t="s">
        <v>1207</v>
      </c>
      <c r="P273" s="207">
        <v>100000</v>
      </c>
      <c r="Q273" s="227"/>
      <c r="R273" s="207" t="s">
        <v>1355</v>
      </c>
      <c r="S273" s="207">
        <v>0</v>
      </c>
      <c r="T273" s="205">
        <f t="shared" si="4"/>
        <v>300000</v>
      </c>
      <c r="U273" s="208"/>
    </row>
    <row r="274" spans="2:21" x14ac:dyDescent="0.3">
      <c r="B274" s="227"/>
      <c r="C274" s="227"/>
      <c r="D274" s="227"/>
      <c r="E274" s="227"/>
      <c r="F274" s="204" t="s">
        <v>109</v>
      </c>
      <c r="G274" s="205">
        <v>100000</v>
      </c>
      <c r="H274" s="227"/>
      <c r="I274" s="205" t="s">
        <v>381</v>
      </c>
      <c r="J274" s="205">
        <v>100000</v>
      </c>
      <c r="K274" s="227"/>
      <c r="L274" s="255" t="s">
        <v>226</v>
      </c>
      <c r="M274" s="214">
        <v>0</v>
      </c>
      <c r="N274" s="227"/>
      <c r="O274" s="207" t="s">
        <v>1207</v>
      </c>
      <c r="P274" s="207">
        <v>100000</v>
      </c>
      <c r="Q274" s="227"/>
      <c r="R274" s="207" t="s">
        <v>1355</v>
      </c>
      <c r="S274" s="262">
        <v>0</v>
      </c>
      <c r="T274" s="205">
        <f t="shared" si="4"/>
        <v>300000</v>
      </c>
      <c r="U274" s="208"/>
    </row>
    <row r="275" spans="2:21" x14ac:dyDescent="0.3">
      <c r="B275" s="227"/>
      <c r="C275" s="227"/>
      <c r="D275" s="227"/>
      <c r="E275" s="227"/>
      <c r="F275" s="204" t="s">
        <v>1351</v>
      </c>
      <c r="G275" s="205">
        <v>100000</v>
      </c>
      <c r="H275" s="227"/>
      <c r="I275" s="205" t="s">
        <v>381</v>
      </c>
      <c r="J275" s="205">
        <v>100000</v>
      </c>
      <c r="K275" s="227"/>
      <c r="L275" s="255" t="s">
        <v>226</v>
      </c>
      <c r="M275" s="214">
        <v>0</v>
      </c>
      <c r="N275" s="227"/>
      <c r="O275" s="207" t="s">
        <v>1207</v>
      </c>
      <c r="P275" s="207">
        <v>100000</v>
      </c>
      <c r="Q275" s="227"/>
      <c r="R275" s="207" t="s">
        <v>1355</v>
      </c>
      <c r="S275" s="262">
        <v>0</v>
      </c>
      <c r="T275" s="205">
        <f t="shared" si="4"/>
        <v>300000</v>
      </c>
      <c r="U275" s="208"/>
    </row>
    <row r="276" spans="2:21" x14ac:dyDescent="0.3">
      <c r="B276" s="227"/>
      <c r="C276" s="227"/>
      <c r="D276" s="227"/>
      <c r="E276" s="227"/>
      <c r="F276" s="204" t="s">
        <v>112</v>
      </c>
      <c r="G276" s="205">
        <v>100000</v>
      </c>
      <c r="H276" s="227"/>
      <c r="I276" s="205" t="s">
        <v>381</v>
      </c>
      <c r="J276" s="205">
        <v>100000</v>
      </c>
      <c r="K276" s="227"/>
      <c r="L276" s="255" t="s">
        <v>226</v>
      </c>
      <c r="M276" s="214">
        <v>0</v>
      </c>
      <c r="N276" s="227"/>
      <c r="O276" s="207" t="s">
        <v>1207</v>
      </c>
      <c r="P276" s="207">
        <v>100000</v>
      </c>
      <c r="Q276" s="227"/>
      <c r="R276" s="207" t="s">
        <v>1355</v>
      </c>
      <c r="S276" s="262">
        <v>0</v>
      </c>
      <c r="T276" s="205">
        <f t="shared" si="4"/>
        <v>300000</v>
      </c>
      <c r="U276" s="208"/>
    </row>
    <row r="277" spans="2:21" x14ac:dyDescent="0.3">
      <c r="B277" s="227"/>
      <c r="C277" s="227"/>
      <c r="D277" s="227"/>
      <c r="E277" s="227"/>
      <c r="F277" s="204" t="s">
        <v>113</v>
      </c>
      <c r="G277" s="205">
        <v>100000</v>
      </c>
      <c r="H277" s="227"/>
      <c r="I277" s="205" t="s">
        <v>381</v>
      </c>
      <c r="J277" s="205">
        <v>100000</v>
      </c>
      <c r="K277" s="227"/>
      <c r="L277" s="255" t="s">
        <v>226</v>
      </c>
      <c r="M277" s="214">
        <v>0</v>
      </c>
      <c r="N277" s="227"/>
      <c r="O277" s="207" t="s">
        <v>1207</v>
      </c>
      <c r="P277" s="207">
        <v>100000</v>
      </c>
      <c r="Q277" s="227"/>
      <c r="R277" s="207" t="s">
        <v>1355</v>
      </c>
      <c r="S277" s="262">
        <v>0</v>
      </c>
      <c r="T277" s="205">
        <f t="shared" si="4"/>
        <v>300000</v>
      </c>
      <c r="U277" s="208"/>
    </row>
    <row r="278" spans="2:21" x14ac:dyDescent="0.3">
      <c r="B278" s="227"/>
      <c r="C278" s="227"/>
      <c r="D278" s="227"/>
      <c r="E278" s="227"/>
      <c r="F278" s="204" t="s">
        <v>116</v>
      </c>
      <c r="G278" s="205">
        <v>100000</v>
      </c>
      <c r="H278" s="227"/>
      <c r="I278" s="205" t="s">
        <v>381</v>
      </c>
      <c r="J278" s="205">
        <v>100000</v>
      </c>
      <c r="K278" s="227"/>
      <c r="L278" s="255" t="s">
        <v>226</v>
      </c>
      <c r="M278" s="205">
        <v>0</v>
      </c>
      <c r="N278" s="227"/>
      <c r="O278" s="207" t="s">
        <v>1207</v>
      </c>
      <c r="P278" s="207">
        <v>100000</v>
      </c>
      <c r="Q278" s="227"/>
      <c r="R278" s="207" t="s">
        <v>1355</v>
      </c>
      <c r="S278" s="207">
        <v>0</v>
      </c>
      <c r="T278" s="205">
        <f t="shared" si="4"/>
        <v>300000</v>
      </c>
      <c r="U278" s="208"/>
    </row>
    <row r="279" spans="2:21" x14ac:dyDescent="0.3">
      <c r="B279" s="212"/>
      <c r="C279" s="213"/>
      <c r="D279" s="213"/>
      <c r="E279" s="230"/>
      <c r="F279" s="214" t="s">
        <v>155</v>
      </c>
      <c r="G279" s="214">
        <v>100000</v>
      </c>
      <c r="H279" s="230"/>
      <c r="I279" s="216" t="s">
        <v>159</v>
      </c>
      <c r="J279" s="215">
        <v>50000</v>
      </c>
      <c r="K279" s="230"/>
      <c r="L279" s="253" t="s">
        <v>226</v>
      </c>
      <c r="M279" s="214">
        <v>0</v>
      </c>
      <c r="N279" s="230"/>
      <c r="O279" s="252" t="s">
        <v>1207</v>
      </c>
      <c r="P279" s="261">
        <v>100000</v>
      </c>
      <c r="Q279" s="230"/>
      <c r="R279" s="252" t="s">
        <v>1355</v>
      </c>
      <c r="S279" s="261">
        <v>0</v>
      </c>
      <c r="T279" s="249">
        <f t="shared" si="4"/>
        <v>250000</v>
      </c>
      <c r="U279" s="217"/>
    </row>
    <row r="280" spans="2:21" x14ac:dyDescent="0.3">
      <c r="B280" s="212"/>
      <c r="C280" s="213"/>
      <c r="D280" s="213"/>
      <c r="E280" s="230"/>
      <c r="F280" s="214" t="s">
        <v>155</v>
      </c>
      <c r="G280" s="214">
        <v>100000</v>
      </c>
      <c r="H280" s="230"/>
      <c r="I280" s="216" t="s">
        <v>381</v>
      </c>
      <c r="J280" s="215">
        <v>50000</v>
      </c>
      <c r="K280" s="230"/>
      <c r="L280" s="253" t="s">
        <v>226</v>
      </c>
      <c r="M280" s="214">
        <v>0</v>
      </c>
      <c r="N280" s="230"/>
      <c r="O280" s="252" t="s">
        <v>1207</v>
      </c>
      <c r="P280" s="261">
        <v>100000</v>
      </c>
      <c r="Q280" s="230"/>
      <c r="R280" s="252" t="s">
        <v>1355</v>
      </c>
      <c r="S280" s="261">
        <v>0</v>
      </c>
      <c r="T280" s="249">
        <f t="shared" si="4"/>
        <v>250000</v>
      </c>
      <c r="U280" s="217"/>
    </row>
    <row r="281" spans="2:21" x14ac:dyDescent="0.3">
      <c r="B281" s="227"/>
      <c r="C281" s="227"/>
      <c r="D281" s="227"/>
      <c r="E281" s="227"/>
      <c r="F281" s="206" t="s">
        <v>1288</v>
      </c>
      <c r="G281" s="205">
        <v>100000</v>
      </c>
      <c r="H281" s="227"/>
      <c r="I281" s="205" t="s">
        <v>159</v>
      </c>
      <c r="J281" s="205">
        <v>100000</v>
      </c>
      <c r="K281" s="227"/>
      <c r="L281" s="255" t="s">
        <v>226</v>
      </c>
      <c r="M281" s="214">
        <v>0</v>
      </c>
      <c r="N281" s="227"/>
      <c r="O281" s="207" t="s">
        <v>1207</v>
      </c>
      <c r="P281" s="207">
        <v>100000</v>
      </c>
      <c r="Q281" s="227"/>
      <c r="R281" s="207" t="s">
        <v>1355</v>
      </c>
      <c r="S281" s="262">
        <v>0</v>
      </c>
      <c r="T281" s="205">
        <f t="shared" si="4"/>
        <v>300000</v>
      </c>
      <c r="U281" s="208"/>
    </row>
    <row r="282" spans="2:21" x14ac:dyDescent="0.3">
      <c r="B282" s="227"/>
      <c r="C282" s="227"/>
      <c r="D282" s="227"/>
      <c r="E282" s="227"/>
      <c r="F282" s="206" t="s">
        <v>1288</v>
      </c>
      <c r="G282" s="205">
        <v>100000</v>
      </c>
      <c r="H282" s="227"/>
      <c r="I282" s="205" t="s">
        <v>381</v>
      </c>
      <c r="J282" s="205">
        <v>100000</v>
      </c>
      <c r="K282" s="227"/>
      <c r="L282" s="255" t="s">
        <v>226</v>
      </c>
      <c r="M282" s="214">
        <v>0</v>
      </c>
      <c r="N282" s="227"/>
      <c r="O282" s="207" t="s">
        <v>1207</v>
      </c>
      <c r="P282" s="207">
        <v>100000</v>
      </c>
      <c r="Q282" s="227"/>
      <c r="R282" s="207" t="s">
        <v>1355</v>
      </c>
      <c r="S282" s="262">
        <v>0</v>
      </c>
      <c r="T282" s="205">
        <f t="shared" si="4"/>
        <v>300000</v>
      </c>
      <c r="U282" s="208"/>
    </row>
    <row r="283" spans="2:21" x14ac:dyDescent="0.3">
      <c r="B283" s="227"/>
      <c r="C283" s="227"/>
      <c r="D283" s="227"/>
      <c r="E283" s="227"/>
      <c r="F283" s="206" t="s">
        <v>1260</v>
      </c>
      <c r="G283" s="205">
        <v>100000</v>
      </c>
      <c r="H283" s="227"/>
      <c r="I283" s="205" t="s">
        <v>159</v>
      </c>
      <c r="J283" s="205">
        <v>100000</v>
      </c>
      <c r="K283" s="227"/>
      <c r="L283" s="255" t="s">
        <v>226</v>
      </c>
      <c r="M283" s="214">
        <v>0</v>
      </c>
      <c r="N283" s="227"/>
      <c r="O283" s="207" t="s">
        <v>1207</v>
      </c>
      <c r="P283" s="207">
        <v>100000</v>
      </c>
      <c r="Q283" s="227"/>
      <c r="R283" s="207" t="s">
        <v>1355</v>
      </c>
      <c r="S283" s="262">
        <v>0</v>
      </c>
      <c r="T283" s="205">
        <f t="shared" si="4"/>
        <v>300000</v>
      </c>
      <c r="U283" s="208"/>
    </row>
    <row r="284" spans="2:21" x14ac:dyDescent="0.3">
      <c r="B284" s="227"/>
      <c r="C284" s="227"/>
      <c r="D284" s="227"/>
      <c r="E284" s="227"/>
      <c r="F284" s="206" t="s">
        <v>1260</v>
      </c>
      <c r="G284" s="205">
        <v>100000</v>
      </c>
      <c r="H284" s="227"/>
      <c r="I284" s="205" t="s">
        <v>381</v>
      </c>
      <c r="J284" s="205">
        <v>100000</v>
      </c>
      <c r="K284" s="227"/>
      <c r="L284" s="255" t="s">
        <v>226</v>
      </c>
      <c r="M284" s="214">
        <v>0</v>
      </c>
      <c r="N284" s="227"/>
      <c r="O284" s="207" t="s">
        <v>1207</v>
      </c>
      <c r="P284" s="207">
        <v>100000</v>
      </c>
      <c r="Q284" s="227"/>
      <c r="R284" s="207" t="s">
        <v>1355</v>
      </c>
      <c r="S284" s="262">
        <v>0</v>
      </c>
      <c r="T284" s="205">
        <f t="shared" si="4"/>
        <v>300000</v>
      </c>
      <c r="U284" s="208"/>
    </row>
    <row r="285" spans="2:21" x14ac:dyDescent="0.3">
      <c r="B285" s="227"/>
      <c r="C285" s="227"/>
      <c r="D285" s="227"/>
      <c r="E285" s="227"/>
      <c r="F285" s="204" t="s">
        <v>109</v>
      </c>
      <c r="G285" s="205">
        <v>100000</v>
      </c>
      <c r="H285" s="227"/>
      <c r="I285" s="207" t="s">
        <v>1311</v>
      </c>
      <c r="J285" s="205">
        <v>100000</v>
      </c>
      <c r="K285" s="227"/>
      <c r="L285" s="255" t="s">
        <v>226</v>
      </c>
      <c r="M285" s="214">
        <v>0</v>
      </c>
      <c r="N285" s="227"/>
      <c r="O285" s="207" t="s">
        <v>1207</v>
      </c>
      <c r="P285" s="207">
        <v>100000</v>
      </c>
      <c r="Q285" s="227"/>
      <c r="R285" s="207" t="s">
        <v>1355</v>
      </c>
      <c r="S285" s="262">
        <v>0</v>
      </c>
      <c r="T285" s="205">
        <f t="shared" si="4"/>
        <v>300000</v>
      </c>
      <c r="U285" s="208"/>
    </row>
    <row r="286" spans="2:21" x14ac:dyDescent="0.3">
      <c r="B286" s="227"/>
      <c r="C286" s="227"/>
      <c r="D286" s="227"/>
      <c r="E286" s="227"/>
      <c r="F286" s="204" t="s">
        <v>1351</v>
      </c>
      <c r="G286" s="205">
        <v>100000</v>
      </c>
      <c r="H286" s="227"/>
      <c r="I286" s="207" t="s">
        <v>1311</v>
      </c>
      <c r="J286" s="205">
        <v>100000</v>
      </c>
      <c r="K286" s="227"/>
      <c r="L286" s="255" t="s">
        <v>226</v>
      </c>
      <c r="M286" s="214">
        <v>0</v>
      </c>
      <c r="N286" s="227"/>
      <c r="O286" s="207" t="s">
        <v>1207</v>
      </c>
      <c r="P286" s="207">
        <v>100000</v>
      </c>
      <c r="Q286" s="227"/>
      <c r="R286" s="207" t="s">
        <v>1355</v>
      </c>
      <c r="S286" s="262">
        <v>0</v>
      </c>
      <c r="T286" s="205">
        <f t="shared" si="4"/>
        <v>300000</v>
      </c>
      <c r="U286" s="208"/>
    </row>
    <row r="287" spans="2:21" x14ac:dyDescent="0.3">
      <c r="B287" s="227"/>
      <c r="C287" s="227"/>
      <c r="D287" s="227"/>
      <c r="E287" s="227"/>
      <c r="F287" s="204" t="s">
        <v>112</v>
      </c>
      <c r="G287" s="205">
        <v>100000</v>
      </c>
      <c r="H287" s="227"/>
      <c r="I287" s="207" t="s">
        <v>1311</v>
      </c>
      <c r="J287" s="205">
        <v>100000</v>
      </c>
      <c r="K287" s="227"/>
      <c r="L287" s="255" t="s">
        <v>226</v>
      </c>
      <c r="M287" s="214">
        <v>0</v>
      </c>
      <c r="N287" s="227"/>
      <c r="O287" s="207" t="s">
        <v>1207</v>
      </c>
      <c r="P287" s="207">
        <v>100000</v>
      </c>
      <c r="Q287" s="227"/>
      <c r="R287" s="207" t="s">
        <v>1355</v>
      </c>
      <c r="S287" s="262">
        <v>0</v>
      </c>
      <c r="T287" s="205">
        <f t="shared" si="4"/>
        <v>300000</v>
      </c>
      <c r="U287" s="208"/>
    </row>
    <row r="288" spans="2:21" x14ac:dyDescent="0.3">
      <c r="B288" s="227"/>
      <c r="C288" s="227"/>
      <c r="D288" s="227"/>
      <c r="E288" s="227"/>
      <c r="F288" s="204" t="s">
        <v>113</v>
      </c>
      <c r="G288" s="205">
        <v>100000</v>
      </c>
      <c r="H288" s="227"/>
      <c r="I288" s="207" t="s">
        <v>1311</v>
      </c>
      <c r="J288" s="205">
        <v>100000</v>
      </c>
      <c r="K288" s="227"/>
      <c r="L288" s="255" t="s">
        <v>226</v>
      </c>
      <c r="M288" s="214">
        <v>0</v>
      </c>
      <c r="N288" s="227"/>
      <c r="O288" s="207" t="s">
        <v>1207</v>
      </c>
      <c r="P288" s="207">
        <v>100000</v>
      </c>
      <c r="Q288" s="227"/>
      <c r="R288" s="207" t="s">
        <v>1355</v>
      </c>
      <c r="S288" s="262">
        <v>0</v>
      </c>
      <c r="T288" s="205">
        <f t="shared" si="4"/>
        <v>300000</v>
      </c>
      <c r="U288" s="208"/>
    </row>
    <row r="289" spans="2:21" x14ac:dyDescent="0.3">
      <c r="B289" s="227"/>
      <c r="C289" s="227"/>
      <c r="D289" s="227"/>
      <c r="E289" s="227"/>
      <c r="F289" s="204" t="s">
        <v>116</v>
      </c>
      <c r="G289" s="205">
        <v>100000</v>
      </c>
      <c r="H289" s="227"/>
      <c r="I289" s="207" t="s">
        <v>1311</v>
      </c>
      <c r="J289" s="205">
        <v>100000</v>
      </c>
      <c r="K289" s="227"/>
      <c r="L289" s="255" t="s">
        <v>226</v>
      </c>
      <c r="M289" s="205">
        <v>0</v>
      </c>
      <c r="N289" s="227"/>
      <c r="O289" s="207" t="s">
        <v>1207</v>
      </c>
      <c r="P289" s="207">
        <v>100000</v>
      </c>
      <c r="Q289" s="227"/>
      <c r="R289" s="207" t="s">
        <v>1355</v>
      </c>
      <c r="S289" s="207">
        <v>0</v>
      </c>
      <c r="T289" s="205">
        <f t="shared" si="4"/>
        <v>300000</v>
      </c>
      <c r="U289" s="208"/>
    </row>
    <row r="290" spans="2:21" x14ac:dyDescent="0.3">
      <c r="B290" s="212"/>
      <c r="C290" s="213"/>
      <c r="D290" s="213"/>
      <c r="E290" s="230"/>
      <c r="F290" s="214" t="s">
        <v>155</v>
      </c>
      <c r="G290" s="214">
        <v>100000</v>
      </c>
      <c r="H290" s="230"/>
      <c r="I290" s="252" t="s">
        <v>1311</v>
      </c>
      <c r="J290" s="215">
        <v>50000</v>
      </c>
      <c r="K290" s="230"/>
      <c r="L290" s="253" t="s">
        <v>226</v>
      </c>
      <c r="M290" s="214">
        <v>0</v>
      </c>
      <c r="N290" s="230"/>
      <c r="O290" s="252" t="s">
        <v>1207</v>
      </c>
      <c r="P290" s="261">
        <v>100000</v>
      </c>
      <c r="Q290" s="230"/>
      <c r="R290" s="252" t="s">
        <v>1355</v>
      </c>
      <c r="S290" s="261">
        <v>0</v>
      </c>
      <c r="T290" s="249">
        <f t="shared" si="4"/>
        <v>250000</v>
      </c>
      <c r="U290" s="217"/>
    </row>
    <row r="291" spans="2:21" x14ac:dyDescent="0.3">
      <c r="B291" s="227"/>
      <c r="C291" s="227"/>
      <c r="D291" s="227"/>
      <c r="E291" s="227"/>
      <c r="F291" s="206" t="s">
        <v>1288</v>
      </c>
      <c r="G291" s="205">
        <v>100000</v>
      </c>
      <c r="H291" s="227"/>
      <c r="I291" s="207" t="s">
        <v>1311</v>
      </c>
      <c r="J291" s="205">
        <v>100000</v>
      </c>
      <c r="K291" s="227"/>
      <c r="L291" s="255" t="s">
        <v>226</v>
      </c>
      <c r="M291" s="214">
        <v>0</v>
      </c>
      <c r="N291" s="227"/>
      <c r="O291" s="207" t="s">
        <v>1207</v>
      </c>
      <c r="P291" s="207">
        <v>100000</v>
      </c>
      <c r="Q291" s="227"/>
      <c r="R291" s="207" t="s">
        <v>1355</v>
      </c>
      <c r="S291" s="262">
        <v>0</v>
      </c>
      <c r="T291" s="205">
        <f t="shared" si="4"/>
        <v>300000</v>
      </c>
      <c r="U291" s="208"/>
    </row>
    <row r="292" spans="2:21" x14ac:dyDescent="0.3">
      <c r="B292" s="227"/>
      <c r="C292" s="227"/>
      <c r="D292" s="227"/>
      <c r="E292" s="227"/>
      <c r="F292" s="257" t="s">
        <v>1260</v>
      </c>
      <c r="G292" s="210">
        <v>100000</v>
      </c>
      <c r="H292" s="227"/>
      <c r="I292" s="260" t="s">
        <v>1311</v>
      </c>
      <c r="J292" s="210">
        <v>100000</v>
      </c>
      <c r="K292" s="227"/>
      <c r="L292" s="256" t="s">
        <v>226</v>
      </c>
      <c r="M292" s="258">
        <v>0</v>
      </c>
      <c r="N292" s="227"/>
      <c r="O292" s="260" t="s">
        <v>1207</v>
      </c>
      <c r="P292" s="260">
        <v>100000</v>
      </c>
      <c r="Q292" s="227"/>
      <c r="R292" s="260" t="s">
        <v>1355</v>
      </c>
      <c r="S292" s="263">
        <v>0</v>
      </c>
      <c r="T292" s="210">
        <f t="shared" si="4"/>
        <v>300000</v>
      </c>
      <c r="U292" s="208"/>
    </row>
    <row r="293" spans="2:21" x14ac:dyDescent="0.3">
      <c r="B293" s="227"/>
      <c r="C293" s="227"/>
      <c r="D293" s="227"/>
      <c r="E293" s="227"/>
      <c r="F293" s="206" t="s">
        <v>1269</v>
      </c>
      <c r="G293" s="205">
        <v>100000</v>
      </c>
      <c r="H293" s="227"/>
      <c r="I293" s="207" t="s">
        <v>1313</v>
      </c>
      <c r="J293" s="205">
        <v>100000</v>
      </c>
      <c r="K293" s="227"/>
      <c r="L293" s="255" t="s">
        <v>226</v>
      </c>
      <c r="M293" s="205">
        <v>0</v>
      </c>
      <c r="N293" s="227"/>
      <c r="O293" s="207" t="s">
        <v>1242</v>
      </c>
      <c r="P293" s="207">
        <v>30000</v>
      </c>
      <c r="Q293" s="227"/>
      <c r="R293" s="207" t="s">
        <v>1355</v>
      </c>
      <c r="S293" s="207">
        <v>0</v>
      </c>
      <c r="T293" s="205">
        <f t="shared" si="4"/>
        <v>230000</v>
      </c>
      <c r="U293" s="208"/>
    </row>
    <row r="294" spans="2:21" x14ac:dyDescent="0.3">
      <c r="B294" s="227"/>
      <c r="C294" s="227"/>
      <c r="D294" s="227"/>
      <c r="E294" s="227"/>
      <c r="F294" s="204" t="s">
        <v>109</v>
      </c>
      <c r="G294" s="205">
        <v>100000</v>
      </c>
      <c r="H294" s="227"/>
      <c r="I294" s="205" t="s">
        <v>159</v>
      </c>
      <c r="J294" s="205">
        <v>100000</v>
      </c>
      <c r="K294" s="227"/>
      <c r="L294" s="255" t="s">
        <v>226</v>
      </c>
      <c r="M294" s="214">
        <v>0</v>
      </c>
      <c r="N294" s="227"/>
      <c r="O294" s="207" t="s">
        <v>1242</v>
      </c>
      <c r="P294" s="207">
        <v>30000</v>
      </c>
      <c r="Q294" s="227"/>
      <c r="R294" s="207" t="s">
        <v>1355</v>
      </c>
      <c r="S294" s="262">
        <v>0</v>
      </c>
      <c r="T294" s="205">
        <f t="shared" si="4"/>
        <v>230000</v>
      </c>
      <c r="U294" s="208"/>
    </row>
    <row r="295" spans="2:21" x14ac:dyDescent="0.3">
      <c r="B295" s="227"/>
      <c r="C295" s="227"/>
      <c r="D295" s="227"/>
      <c r="E295" s="227"/>
      <c r="F295" s="204" t="s">
        <v>1351</v>
      </c>
      <c r="G295" s="205">
        <v>100000</v>
      </c>
      <c r="H295" s="227"/>
      <c r="I295" s="205" t="s">
        <v>159</v>
      </c>
      <c r="J295" s="205">
        <v>100000</v>
      </c>
      <c r="K295" s="227"/>
      <c r="L295" s="255" t="s">
        <v>226</v>
      </c>
      <c r="M295" s="214">
        <v>0</v>
      </c>
      <c r="N295" s="227"/>
      <c r="O295" s="207" t="s">
        <v>1242</v>
      </c>
      <c r="P295" s="207">
        <v>30000</v>
      </c>
      <c r="Q295" s="227"/>
      <c r="R295" s="207" t="s">
        <v>1355</v>
      </c>
      <c r="S295" s="262">
        <v>0</v>
      </c>
      <c r="T295" s="205">
        <f t="shared" si="4"/>
        <v>230000</v>
      </c>
      <c r="U295" s="208"/>
    </row>
    <row r="296" spans="2:21" x14ac:dyDescent="0.3">
      <c r="B296" s="227"/>
      <c r="C296" s="227"/>
      <c r="D296" s="227"/>
      <c r="E296" s="227"/>
      <c r="F296" s="204" t="s">
        <v>112</v>
      </c>
      <c r="G296" s="205">
        <v>100000</v>
      </c>
      <c r="H296" s="227"/>
      <c r="I296" s="205" t="s">
        <v>159</v>
      </c>
      <c r="J296" s="205">
        <v>100000</v>
      </c>
      <c r="K296" s="227"/>
      <c r="L296" s="255" t="s">
        <v>226</v>
      </c>
      <c r="M296" s="214">
        <v>0</v>
      </c>
      <c r="N296" s="227"/>
      <c r="O296" s="207" t="s">
        <v>1242</v>
      </c>
      <c r="P296" s="207">
        <v>30000</v>
      </c>
      <c r="Q296" s="227"/>
      <c r="R296" s="207" t="s">
        <v>1355</v>
      </c>
      <c r="S296" s="262">
        <v>0</v>
      </c>
      <c r="T296" s="205">
        <f t="shared" si="4"/>
        <v>230000</v>
      </c>
      <c r="U296" s="208"/>
    </row>
    <row r="297" spans="2:21" x14ac:dyDescent="0.3">
      <c r="B297" s="227"/>
      <c r="C297" s="227"/>
      <c r="D297" s="227"/>
      <c r="E297" s="227"/>
      <c r="F297" s="204" t="s">
        <v>113</v>
      </c>
      <c r="G297" s="205">
        <v>100000</v>
      </c>
      <c r="H297" s="227"/>
      <c r="I297" s="205" t="s">
        <v>159</v>
      </c>
      <c r="J297" s="205">
        <v>100000</v>
      </c>
      <c r="K297" s="227"/>
      <c r="L297" s="255" t="s">
        <v>226</v>
      </c>
      <c r="M297" s="214">
        <v>0</v>
      </c>
      <c r="N297" s="227"/>
      <c r="O297" s="207" t="s">
        <v>1242</v>
      </c>
      <c r="P297" s="207">
        <v>30000</v>
      </c>
      <c r="Q297" s="227"/>
      <c r="R297" s="207" t="s">
        <v>1355</v>
      </c>
      <c r="S297" s="262">
        <v>0</v>
      </c>
      <c r="T297" s="205">
        <f t="shared" si="4"/>
        <v>230000</v>
      </c>
      <c r="U297" s="208"/>
    </row>
    <row r="298" spans="2:21" x14ac:dyDescent="0.3">
      <c r="B298" s="227"/>
      <c r="C298" s="227"/>
      <c r="D298" s="227"/>
      <c r="E298" s="227"/>
      <c r="F298" s="204" t="s">
        <v>116</v>
      </c>
      <c r="G298" s="205">
        <v>100000</v>
      </c>
      <c r="H298" s="227"/>
      <c r="I298" s="205" t="s">
        <v>159</v>
      </c>
      <c r="J298" s="205">
        <v>100000</v>
      </c>
      <c r="K298" s="227"/>
      <c r="L298" s="255" t="s">
        <v>226</v>
      </c>
      <c r="M298" s="205">
        <v>0</v>
      </c>
      <c r="N298" s="227"/>
      <c r="O298" s="207" t="s">
        <v>1242</v>
      </c>
      <c r="P298" s="207">
        <v>30000</v>
      </c>
      <c r="Q298" s="227"/>
      <c r="R298" s="207" t="s">
        <v>1355</v>
      </c>
      <c r="S298" s="207">
        <v>0</v>
      </c>
      <c r="T298" s="205">
        <f t="shared" si="4"/>
        <v>230000</v>
      </c>
      <c r="U298" s="208"/>
    </row>
    <row r="299" spans="2:21" x14ac:dyDescent="0.3">
      <c r="B299" s="227"/>
      <c r="C299" s="227"/>
      <c r="D299" s="227"/>
      <c r="E299" s="227"/>
      <c r="F299" s="204" t="s">
        <v>109</v>
      </c>
      <c r="G299" s="205">
        <v>100000</v>
      </c>
      <c r="H299" s="227"/>
      <c r="I299" s="205" t="s">
        <v>381</v>
      </c>
      <c r="J299" s="205">
        <v>100000</v>
      </c>
      <c r="K299" s="227"/>
      <c r="L299" s="255" t="s">
        <v>226</v>
      </c>
      <c r="M299" s="214">
        <v>0</v>
      </c>
      <c r="N299" s="227"/>
      <c r="O299" s="207" t="s">
        <v>1242</v>
      </c>
      <c r="P299" s="207">
        <v>30000</v>
      </c>
      <c r="Q299" s="227"/>
      <c r="R299" s="207" t="s">
        <v>1355</v>
      </c>
      <c r="S299" s="262">
        <v>0</v>
      </c>
      <c r="T299" s="205">
        <f t="shared" si="4"/>
        <v>230000</v>
      </c>
      <c r="U299" s="208"/>
    </row>
    <row r="300" spans="2:21" x14ac:dyDescent="0.3">
      <c r="B300" s="227"/>
      <c r="C300" s="227"/>
      <c r="D300" s="227"/>
      <c r="E300" s="227"/>
      <c r="F300" s="204" t="s">
        <v>1351</v>
      </c>
      <c r="G300" s="205">
        <v>100000</v>
      </c>
      <c r="H300" s="227"/>
      <c r="I300" s="205" t="s">
        <v>381</v>
      </c>
      <c r="J300" s="205">
        <v>100000</v>
      </c>
      <c r="K300" s="227"/>
      <c r="L300" s="255" t="s">
        <v>226</v>
      </c>
      <c r="M300" s="214">
        <v>0</v>
      </c>
      <c r="N300" s="227"/>
      <c r="O300" s="207" t="s">
        <v>1242</v>
      </c>
      <c r="P300" s="207">
        <v>30000</v>
      </c>
      <c r="Q300" s="227"/>
      <c r="R300" s="207" t="s">
        <v>1355</v>
      </c>
      <c r="S300" s="262">
        <v>0</v>
      </c>
      <c r="T300" s="205">
        <f t="shared" si="4"/>
        <v>230000</v>
      </c>
      <c r="U300" s="208"/>
    </row>
    <row r="301" spans="2:21" x14ac:dyDescent="0.3">
      <c r="B301" s="227"/>
      <c r="C301" s="227"/>
      <c r="D301" s="227"/>
      <c r="E301" s="227"/>
      <c r="F301" s="204" t="s">
        <v>112</v>
      </c>
      <c r="G301" s="205">
        <v>100000</v>
      </c>
      <c r="H301" s="227"/>
      <c r="I301" s="205" t="s">
        <v>381</v>
      </c>
      <c r="J301" s="205">
        <v>100000</v>
      </c>
      <c r="K301" s="227"/>
      <c r="L301" s="255" t="s">
        <v>226</v>
      </c>
      <c r="M301" s="214">
        <v>0</v>
      </c>
      <c r="N301" s="227"/>
      <c r="O301" s="207" t="s">
        <v>1242</v>
      </c>
      <c r="P301" s="207">
        <v>30000</v>
      </c>
      <c r="Q301" s="227"/>
      <c r="R301" s="207" t="s">
        <v>1355</v>
      </c>
      <c r="S301" s="262">
        <v>0</v>
      </c>
      <c r="T301" s="205">
        <f t="shared" si="4"/>
        <v>230000</v>
      </c>
      <c r="U301" s="208"/>
    </row>
    <row r="302" spans="2:21" x14ac:dyDescent="0.3">
      <c r="B302" s="227"/>
      <c r="C302" s="227"/>
      <c r="D302" s="227"/>
      <c r="E302" s="227"/>
      <c r="F302" s="204" t="s">
        <v>113</v>
      </c>
      <c r="G302" s="205">
        <v>100000</v>
      </c>
      <c r="H302" s="227"/>
      <c r="I302" s="205" t="s">
        <v>381</v>
      </c>
      <c r="J302" s="205">
        <v>100000</v>
      </c>
      <c r="K302" s="227"/>
      <c r="L302" s="255" t="s">
        <v>226</v>
      </c>
      <c r="M302" s="214">
        <v>0</v>
      </c>
      <c r="N302" s="227"/>
      <c r="O302" s="207" t="s">
        <v>1242</v>
      </c>
      <c r="P302" s="207">
        <v>30000</v>
      </c>
      <c r="Q302" s="227"/>
      <c r="R302" s="207" t="s">
        <v>1355</v>
      </c>
      <c r="S302" s="262">
        <v>0</v>
      </c>
      <c r="T302" s="205">
        <f t="shared" si="4"/>
        <v>230000</v>
      </c>
      <c r="U302" s="208"/>
    </row>
    <row r="303" spans="2:21" x14ac:dyDescent="0.3">
      <c r="B303" s="227"/>
      <c r="C303" s="227"/>
      <c r="D303" s="227"/>
      <c r="E303" s="227"/>
      <c r="F303" s="204" t="s">
        <v>116</v>
      </c>
      <c r="G303" s="205">
        <v>100000</v>
      </c>
      <c r="H303" s="227"/>
      <c r="I303" s="205" t="s">
        <v>381</v>
      </c>
      <c r="J303" s="205">
        <v>100000</v>
      </c>
      <c r="K303" s="227"/>
      <c r="L303" s="255" t="s">
        <v>226</v>
      </c>
      <c r="M303" s="205">
        <v>0</v>
      </c>
      <c r="N303" s="227"/>
      <c r="O303" s="207" t="s">
        <v>1242</v>
      </c>
      <c r="P303" s="207">
        <v>30000</v>
      </c>
      <c r="Q303" s="227"/>
      <c r="R303" s="207" t="s">
        <v>1355</v>
      </c>
      <c r="S303" s="207">
        <v>0</v>
      </c>
      <c r="T303" s="205">
        <f t="shared" si="4"/>
        <v>230000</v>
      </c>
      <c r="U303" s="208"/>
    </row>
    <row r="304" spans="2:21" x14ac:dyDescent="0.3">
      <c r="B304" s="212"/>
      <c r="C304" s="213"/>
      <c r="D304" s="213"/>
      <c r="E304" s="230"/>
      <c r="F304" s="214" t="s">
        <v>155</v>
      </c>
      <c r="G304" s="214">
        <v>100000</v>
      </c>
      <c r="H304" s="230"/>
      <c r="I304" s="216" t="s">
        <v>159</v>
      </c>
      <c r="J304" s="215">
        <v>50000</v>
      </c>
      <c r="K304" s="230"/>
      <c r="L304" s="253" t="s">
        <v>226</v>
      </c>
      <c r="M304" s="214">
        <v>0</v>
      </c>
      <c r="N304" s="230"/>
      <c r="O304" s="252" t="s">
        <v>1242</v>
      </c>
      <c r="P304" s="261">
        <v>30000</v>
      </c>
      <c r="Q304" s="230"/>
      <c r="R304" s="252" t="s">
        <v>1355</v>
      </c>
      <c r="S304" s="261">
        <v>0</v>
      </c>
      <c r="T304" s="249">
        <f t="shared" si="4"/>
        <v>180000</v>
      </c>
      <c r="U304" s="217"/>
    </row>
    <row r="305" spans="2:21" x14ac:dyDescent="0.3">
      <c r="B305" s="212"/>
      <c r="C305" s="213"/>
      <c r="D305" s="213"/>
      <c r="E305" s="230"/>
      <c r="F305" s="214" t="s">
        <v>155</v>
      </c>
      <c r="G305" s="214">
        <v>100000</v>
      </c>
      <c r="H305" s="230"/>
      <c r="I305" s="216" t="s">
        <v>381</v>
      </c>
      <c r="J305" s="215">
        <v>50000</v>
      </c>
      <c r="K305" s="230"/>
      <c r="L305" s="253" t="s">
        <v>226</v>
      </c>
      <c r="M305" s="214">
        <v>0</v>
      </c>
      <c r="N305" s="230"/>
      <c r="O305" s="252" t="s">
        <v>1242</v>
      </c>
      <c r="P305" s="261">
        <v>30000</v>
      </c>
      <c r="Q305" s="230"/>
      <c r="R305" s="252" t="s">
        <v>1355</v>
      </c>
      <c r="S305" s="261">
        <v>0</v>
      </c>
      <c r="T305" s="249">
        <f t="shared" si="4"/>
        <v>180000</v>
      </c>
      <c r="U305" s="217"/>
    </row>
    <row r="306" spans="2:21" x14ac:dyDescent="0.3">
      <c r="B306" s="227"/>
      <c r="C306" s="227"/>
      <c r="D306" s="227"/>
      <c r="E306" s="227"/>
      <c r="F306" s="206" t="s">
        <v>1288</v>
      </c>
      <c r="G306" s="205">
        <v>100000</v>
      </c>
      <c r="H306" s="227"/>
      <c r="I306" s="205" t="s">
        <v>159</v>
      </c>
      <c r="J306" s="205">
        <v>100000</v>
      </c>
      <c r="K306" s="227"/>
      <c r="L306" s="255" t="s">
        <v>226</v>
      </c>
      <c r="M306" s="214">
        <v>0</v>
      </c>
      <c r="N306" s="227"/>
      <c r="O306" s="207" t="s">
        <v>1242</v>
      </c>
      <c r="P306" s="207">
        <v>30000</v>
      </c>
      <c r="Q306" s="227"/>
      <c r="R306" s="207" t="s">
        <v>1355</v>
      </c>
      <c r="S306" s="262">
        <v>0</v>
      </c>
      <c r="T306" s="205">
        <f t="shared" si="4"/>
        <v>230000</v>
      </c>
      <c r="U306" s="208"/>
    </row>
    <row r="307" spans="2:21" x14ac:dyDescent="0.3">
      <c r="B307" s="227"/>
      <c r="C307" s="227"/>
      <c r="D307" s="227"/>
      <c r="E307" s="227"/>
      <c r="F307" s="206" t="s">
        <v>1288</v>
      </c>
      <c r="G307" s="205">
        <v>100000</v>
      </c>
      <c r="H307" s="227"/>
      <c r="I307" s="205" t="s">
        <v>381</v>
      </c>
      <c r="J307" s="205">
        <v>100000</v>
      </c>
      <c r="K307" s="227"/>
      <c r="L307" s="255" t="s">
        <v>226</v>
      </c>
      <c r="M307" s="214">
        <v>0</v>
      </c>
      <c r="N307" s="227"/>
      <c r="O307" s="207" t="s">
        <v>1242</v>
      </c>
      <c r="P307" s="207">
        <v>30000</v>
      </c>
      <c r="Q307" s="227"/>
      <c r="R307" s="207" t="s">
        <v>1355</v>
      </c>
      <c r="S307" s="262">
        <v>0</v>
      </c>
      <c r="T307" s="205">
        <f t="shared" si="4"/>
        <v>230000</v>
      </c>
      <c r="U307" s="208"/>
    </row>
    <row r="308" spans="2:21" x14ac:dyDescent="0.3">
      <c r="B308" s="227"/>
      <c r="C308" s="227"/>
      <c r="D308" s="227"/>
      <c r="E308" s="227"/>
      <c r="F308" s="206" t="s">
        <v>1260</v>
      </c>
      <c r="G308" s="205">
        <v>100000</v>
      </c>
      <c r="H308" s="227"/>
      <c r="I308" s="205" t="s">
        <v>159</v>
      </c>
      <c r="J308" s="205">
        <v>100000</v>
      </c>
      <c r="K308" s="227"/>
      <c r="L308" s="255" t="s">
        <v>226</v>
      </c>
      <c r="M308" s="214">
        <v>0</v>
      </c>
      <c r="N308" s="227"/>
      <c r="O308" s="207" t="s">
        <v>1242</v>
      </c>
      <c r="P308" s="207">
        <v>30000</v>
      </c>
      <c r="Q308" s="227"/>
      <c r="R308" s="207" t="s">
        <v>1355</v>
      </c>
      <c r="S308" s="262">
        <v>0</v>
      </c>
      <c r="T308" s="205">
        <f t="shared" si="4"/>
        <v>230000</v>
      </c>
      <c r="U308" s="208"/>
    </row>
    <row r="309" spans="2:21" x14ac:dyDescent="0.3">
      <c r="B309" s="227"/>
      <c r="C309" s="227"/>
      <c r="D309" s="227"/>
      <c r="E309" s="227"/>
      <c r="F309" s="206" t="s">
        <v>1260</v>
      </c>
      <c r="G309" s="205">
        <v>100000</v>
      </c>
      <c r="H309" s="227"/>
      <c r="I309" s="205" t="s">
        <v>381</v>
      </c>
      <c r="J309" s="205">
        <v>100000</v>
      </c>
      <c r="K309" s="227"/>
      <c r="L309" s="255" t="s">
        <v>226</v>
      </c>
      <c r="M309" s="214">
        <v>0</v>
      </c>
      <c r="N309" s="227"/>
      <c r="O309" s="207" t="s">
        <v>1242</v>
      </c>
      <c r="P309" s="207">
        <v>30000</v>
      </c>
      <c r="Q309" s="227"/>
      <c r="R309" s="207" t="s">
        <v>1355</v>
      </c>
      <c r="S309" s="262">
        <v>0</v>
      </c>
      <c r="T309" s="205">
        <f t="shared" si="4"/>
        <v>230000</v>
      </c>
      <c r="U309" s="208"/>
    </row>
    <row r="310" spans="2:21" x14ac:dyDescent="0.3">
      <c r="B310" s="227"/>
      <c r="C310" s="227"/>
      <c r="D310" s="227"/>
      <c r="E310" s="227"/>
      <c r="F310" s="204" t="s">
        <v>109</v>
      </c>
      <c r="G310" s="205">
        <v>100000</v>
      </c>
      <c r="H310" s="227"/>
      <c r="I310" s="207" t="s">
        <v>1311</v>
      </c>
      <c r="J310" s="205">
        <v>100000</v>
      </c>
      <c r="K310" s="227"/>
      <c r="L310" s="255" t="s">
        <v>226</v>
      </c>
      <c r="M310" s="214">
        <v>0</v>
      </c>
      <c r="N310" s="227"/>
      <c r="O310" s="207" t="s">
        <v>1242</v>
      </c>
      <c r="P310" s="207">
        <v>30000</v>
      </c>
      <c r="Q310" s="227"/>
      <c r="R310" s="207" t="s">
        <v>1355</v>
      </c>
      <c r="S310" s="262">
        <v>0</v>
      </c>
      <c r="T310" s="205">
        <f t="shared" si="4"/>
        <v>230000</v>
      </c>
      <c r="U310" s="208"/>
    </row>
    <row r="311" spans="2:21" x14ac:dyDescent="0.3">
      <c r="B311" s="227"/>
      <c r="C311" s="227"/>
      <c r="D311" s="227"/>
      <c r="E311" s="227"/>
      <c r="F311" s="204" t="s">
        <v>1351</v>
      </c>
      <c r="G311" s="205">
        <v>100000</v>
      </c>
      <c r="H311" s="227"/>
      <c r="I311" s="207" t="s">
        <v>1311</v>
      </c>
      <c r="J311" s="205">
        <v>100000</v>
      </c>
      <c r="K311" s="227"/>
      <c r="L311" s="255" t="s">
        <v>226</v>
      </c>
      <c r="M311" s="214">
        <v>0</v>
      </c>
      <c r="N311" s="227"/>
      <c r="O311" s="207" t="s">
        <v>1242</v>
      </c>
      <c r="P311" s="207">
        <v>30000</v>
      </c>
      <c r="Q311" s="227"/>
      <c r="R311" s="207" t="s">
        <v>1355</v>
      </c>
      <c r="S311" s="262">
        <v>0</v>
      </c>
      <c r="T311" s="205">
        <f t="shared" si="4"/>
        <v>230000</v>
      </c>
      <c r="U311" s="208"/>
    </row>
    <row r="312" spans="2:21" x14ac:dyDescent="0.3">
      <c r="B312" s="227"/>
      <c r="C312" s="227"/>
      <c r="D312" s="227"/>
      <c r="E312" s="227"/>
      <c r="F312" s="204" t="s">
        <v>112</v>
      </c>
      <c r="G312" s="205">
        <v>100000</v>
      </c>
      <c r="H312" s="227"/>
      <c r="I312" s="207" t="s">
        <v>1311</v>
      </c>
      <c r="J312" s="205">
        <v>100000</v>
      </c>
      <c r="K312" s="227"/>
      <c r="L312" s="255" t="s">
        <v>226</v>
      </c>
      <c r="M312" s="214">
        <v>0</v>
      </c>
      <c r="N312" s="227"/>
      <c r="O312" s="207" t="s">
        <v>1242</v>
      </c>
      <c r="P312" s="207">
        <v>30000</v>
      </c>
      <c r="Q312" s="227"/>
      <c r="R312" s="207" t="s">
        <v>1355</v>
      </c>
      <c r="S312" s="262">
        <v>0</v>
      </c>
      <c r="T312" s="205">
        <f t="shared" si="4"/>
        <v>230000</v>
      </c>
      <c r="U312" s="208"/>
    </row>
    <row r="313" spans="2:21" x14ac:dyDescent="0.3">
      <c r="B313" s="227"/>
      <c r="C313" s="227"/>
      <c r="D313" s="227"/>
      <c r="E313" s="227"/>
      <c r="F313" s="204" t="s">
        <v>113</v>
      </c>
      <c r="G313" s="205">
        <v>100000</v>
      </c>
      <c r="H313" s="227"/>
      <c r="I313" s="207" t="s">
        <v>1311</v>
      </c>
      <c r="J313" s="205">
        <v>100000</v>
      </c>
      <c r="K313" s="227"/>
      <c r="L313" s="255" t="s">
        <v>226</v>
      </c>
      <c r="M313" s="214">
        <v>0</v>
      </c>
      <c r="N313" s="227"/>
      <c r="O313" s="207" t="s">
        <v>1242</v>
      </c>
      <c r="P313" s="207">
        <v>30000</v>
      </c>
      <c r="Q313" s="227"/>
      <c r="R313" s="207" t="s">
        <v>1355</v>
      </c>
      <c r="S313" s="262">
        <v>0</v>
      </c>
      <c r="T313" s="205">
        <f t="shared" si="4"/>
        <v>230000</v>
      </c>
      <c r="U313" s="208"/>
    </row>
    <row r="314" spans="2:21" x14ac:dyDescent="0.3">
      <c r="B314" s="227"/>
      <c r="C314" s="227"/>
      <c r="D314" s="227"/>
      <c r="E314" s="227"/>
      <c r="F314" s="204" t="s">
        <v>116</v>
      </c>
      <c r="G314" s="205">
        <v>100000</v>
      </c>
      <c r="H314" s="227"/>
      <c r="I314" s="207" t="s">
        <v>1311</v>
      </c>
      <c r="J314" s="205">
        <v>100000</v>
      </c>
      <c r="K314" s="227"/>
      <c r="L314" s="255" t="s">
        <v>226</v>
      </c>
      <c r="M314" s="205">
        <v>0</v>
      </c>
      <c r="N314" s="227"/>
      <c r="O314" s="207" t="s">
        <v>1242</v>
      </c>
      <c r="P314" s="207">
        <v>30000</v>
      </c>
      <c r="Q314" s="227"/>
      <c r="R314" s="207" t="s">
        <v>1355</v>
      </c>
      <c r="S314" s="207">
        <v>0</v>
      </c>
      <c r="T314" s="205">
        <f t="shared" si="4"/>
        <v>230000</v>
      </c>
      <c r="U314" s="208"/>
    </row>
    <row r="315" spans="2:21" x14ac:dyDescent="0.3">
      <c r="B315" s="212"/>
      <c r="C315" s="213"/>
      <c r="D315" s="213"/>
      <c r="E315" s="230"/>
      <c r="F315" s="214" t="s">
        <v>155</v>
      </c>
      <c r="G315" s="214">
        <v>100000</v>
      </c>
      <c r="H315" s="230"/>
      <c r="I315" s="252" t="s">
        <v>1311</v>
      </c>
      <c r="J315" s="215">
        <v>50000</v>
      </c>
      <c r="K315" s="230"/>
      <c r="L315" s="253" t="s">
        <v>226</v>
      </c>
      <c r="M315" s="214">
        <v>0</v>
      </c>
      <c r="N315" s="230"/>
      <c r="O315" s="252" t="s">
        <v>1242</v>
      </c>
      <c r="P315" s="261">
        <v>30000</v>
      </c>
      <c r="Q315" s="230"/>
      <c r="R315" s="252" t="s">
        <v>1355</v>
      </c>
      <c r="S315" s="261">
        <v>0</v>
      </c>
      <c r="T315" s="249">
        <f t="shared" si="4"/>
        <v>180000</v>
      </c>
      <c r="U315" s="217"/>
    </row>
    <row r="316" spans="2:21" x14ac:dyDescent="0.3">
      <c r="B316" s="227"/>
      <c r="C316" s="227"/>
      <c r="D316" s="227"/>
      <c r="E316" s="227"/>
      <c r="F316" s="206" t="s">
        <v>1288</v>
      </c>
      <c r="G316" s="205">
        <v>100000</v>
      </c>
      <c r="H316" s="227"/>
      <c r="I316" s="207" t="s">
        <v>1311</v>
      </c>
      <c r="J316" s="205">
        <v>100000</v>
      </c>
      <c r="K316" s="227"/>
      <c r="L316" s="255" t="s">
        <v>226</v>
      </c>
      <c r="M316" s="214">
        <v>0</v>
      </c>
      <c r="N316" s="227"/>
      <c r="O316" s="207" t="s">
        <v>1242</v>
      </c>
      <c r="P316" s="207">
        <v>30000</v>
      </c>
      <c r="Q316" s="227"/>
      <c r="R316" s="207" t="s">
        <v>1355</v>
      </c>
      <c r="S316" s="262">
        <v>0</v>
      </c>
      <c r="T316" s="205">
        <f t="shared" si="4"/>
        <v>230000</v>
      </c>
      <c r="U316" s="208"/>
    </row>
    <row r="317" spans="2:21" x14ac:dyDescent="0.3">
      <c r="B317" s="227"/>
      <c r="C317" s="227"/>
      <c r="D317" s="227"/>
      <c r="E317" s="227"/>
      <c r="F317" s="206" t="s">
        <v>1260</v>
      </c>
      <c r="G317" s="205">
        <v>100000</v>
      </c>
      <c r="H317" s="227"/>
      <c r="I317" s="207" t="s">
        <v>1311</v>
      </c>
      <c r="J317" s="205">
        <v>100000</v>
      </c>
      <c r="K317" s="227"/>
      <c r="L317" s="255" t="s">
        <v>226</v>
      </c>
      <c r="M317" s="214">
        <v>0</v>
      </c>
      <c r="N317" s="227"/>
      <c r="O317" s="207" t="s">
        <v>1242</v>
      </c>
      <c r="P317" s="207">
        <v>30000</v>
      </c>
      <c r="Q317" s="227"/>
      <c r="R317" s="207" t="s">
        <v>1355</v>
      </c>
      <c r="S317" s="262">
        <v>0</v>
      </c>
      <c r="T317" s="205">
        <f t="shared" si="4"/>
        <v>230000</v>
      </c>
      <c r="U317" s="208"/>
    </row>
    <row r="318" spans="2:21" x14ac:dyDescent="0.3">
      <c r="B318" s="227"/>
      <c r="C318" s="227"/>
      <c r="D318" s="227"/>
      <c r="E318" s="227"/>
      <c r="F318" s="206" t="s">
        <v>1269</v>
      </c>
      <c r="G318" s="205">
        <v>100000</v>
      </c>
      <c r="H318" s="227"/>
      <c r="I318" s="207" t="s">
        <v>1313</v>
      </c>
      <c r="J318" s="205">
        <v>100000</v>
      </c>
      <c r="K318" s="227"/>
      <c r="L318" s="255" t="s">
        <v>226</v>
      </c>
      <c r="M318" s="205">
        <v>0</v>
      </c>
      <c r="N318" s="227"/>
      <c r="O318" s="207" t="s">
        <v>1243</v>
      </c>
      <c r="P318" s="207">
        <v>30000</v>
      </c>
      <c r="Q318" s="227"/>
      <c r="R318" s="207" t="s">
        <v>1355</v>
      </c>
      <c r="S318" s="207">
        <v>0</v>
      </c>
      <c r="T318" s="205">
        <f t="shared" si="4"/>
        <v>230000</v>
      </c>
      <c r="U318" s="208"/>
    </row>
    <row r="319" spans="2:21" x14ac:dyDescent="0.3">
      <c r="B319" s="227"/>
      <c r="C319" s="227"/>
      <c r="D319" s="227"/>
      <c r="E319" s="227"/>
      <c r="F319" s="204" t="s">
        <v>109</v>
      </c>
      <c r="G319" s="205">
        <v>100000</v>
      </c>
      <c r="H319" s="227"/>
      <c r="I319" s="205" t="s">
        <v>159</v>
      </c>
      <c r="J319" s="205">
        <v>100000</v>
      </c>
      <c r="K319" s="227"/>
      <c r="L319" s="255" t="s">
        <v>226</v>
      </c>
      <c r="M319" s="214">
        <v>0</v>
      </c>
      <c r="N319" s="227"/>
      <c r="O319" s="207" t="s">
        <v>1243</v>
      </c>
      <c r="P319" s="207">
        <v>30000</v>
      </c>
      <c r="Q319" s="227"/>
      <c r="R319" s="207" t="s">
        <v>1355</v>
      </c>
      <c r="S319" s="262">
        <v>0</v>
      </c>
      <c r="T319" s="205">
        <f t="shared" si="4"/>
        <v>230000</v>
      </c>
      <c r="U319" s="208"/>
    </row>
    <row r="320" spans="2:21" x14ac:dyDescent="0.3">
      <c r="B320" s="227"/>
      <c r="C320" s="227"/>
      <c r="D320" s="227"/>
      <c r="E320" s="227"/>
      <c r="F320" s="204" t="s">
        <v>1351</v>
      </c>
      <c r="G320" s="205">
        <v>100000</v>
      </c>
      <c r="H320" s="227"/>
      <c r="I320" s="205" t="s">
        <v>159</v>
      </c>
      <c r="J320" s="205">
        <v>100000</v>
      </c>
      <c r="K320" s="227"/>
      <c r="L320" s="255" t="s">
        <v>226</v>
      </c>
      <c r="M320" s="214">
        <v>0</v>
      </c>
      <c r="N320" s="227"/>
      <c r="O320" s="207" t="s">
        <v>1243</v>
      </c>
      <c r="P320" s="207">
        <v>30000</v>
      </c>
      <c r="Q320" s="227"/>
      <c r="R320" s="207" t="s">
        <v>1355</v>
      </c>
      <c r="S320" s="262">
        <v>0</v>
      </c>
      <c r="T320" s="205">
        <f t="shared" si="4"/>
        <v>230000</v>
      </c>
      <c r="U320" s="208"/>
    </row>
    <row r="321" spans="2:21" x14ac:dyDescent="0.3">
      <c r="B321" s="227"/>
      <c r="C321" s="227"/>
      <c r="D321" s="227"/>
      <c r="E321" s="227"/>
      <c r="F321" s="204" t="s">
        <v>112</v>
      </c>
      <c r="G321" s="205">
        <v>100000</v>
      </c>
      <c r="H321" s="227"/>
      <c r="I321" s="205" t="s">
        <v>159</v>
      </c>
      <c r="J321" s="205">
        <v>100000</v>
      </c>
      <c r="K321" s="227"/>
      <c r="L321" s="255" t="s">
        <v>226</v>
      </c>
      <c r="M321" s="214">
        <v>0</v>
      </c>
      <c r="N321" s="227"/>
      <c r="O321" s="207" t="s">
        <v>1243</v>
      </c>
      <c r="P321" s="207">
        <v>30000</v>
      </c>
      <c r="Q321" s="227"/>
      <c r="R321" s="207" t="s">
        <v>1355</v>
      </c>
      <c r="S321" s="262">
        <v>0</v>
      </c>
      <c r="T321" s="205">
        <f t="shared" si="4"/>
        <v>230000</v>
      </c>
      <c r="U321" s="208"/>
    </row>
    <row r="322" spans="2:21" x14ac:dyDescent="0.3">
      <c r="B322" s="227"/>
      <c r="C322" s="227"/>
      <c r="D322" s="227"/>
      <c r="E322" s="227"/>
      <c r="F322" s="204" t="s">
        <v>113</v>
      </c>
      <c r="G322" s="205">
        <v>100000</v>
      </c>
      <c r="H322" s="227"/>
      <c r="I322" s="205" t="s">
        <v>159</v>
      </c>
      <c r="J322" s="205">
        <v>100000</v>
      </c>
      <c r="K322" s="227"/>
      <c r="L322" s="255" t="s">
        <v>226</v>
      </c>
      <c r="M322" s="214">
        <v>0</v>
      </c>
      <c r="N322" s="227"/>
      <c r="O322" s="207" t="s">
        <v>1243</v>
      </c>
      <c r="P322" s="207">
        <v>30000</v>
      </c>
      <c r="Q322" s="227"/>
      <c r="R322" s="207" t="s">
        <v>1355</v>
      </c>
      <c r="S322" s="262">
        <v>0</v>
      </c>
      <c r="T322" s="205">
        <f t="shared" si="4"/>
        <v>230000</v>
      </c>
      <c r="U322" s="208"/>
    </row>
    <row r="323" spans="2:21" x14ac:dyDescent="0.3">
      <c r="B323" s="227"/>
      <c r="C323" s="227"/>
      <c r="D323" s="227"/>
      <c r="E323" s="227"/>
      <c r="F323" s="204" t="s">
        <v>116</v>
      </c>
      <c r="G323" s="205">
        <v>100000</v>
      </c>
      <c r="H323" s="227"/>
      <c r="I323" s="205" t="s">
        <v>159</v>
      </c>
      <c r="J323" s="205">
        <v>100000</v>
      </c>
      <c r="K323" s="227"/>
      <c r="L323" s="255" t="s">
        <v>226</v>
      </c>
      <c r="M323" s="205">
        <v>0</v>
      </c>
      <c r="N323" s="227"/>
      <c r="O323" s="207" t="s">
        <v>1243</v>
      </c>
      <c r="P323" s="207">
        <v>30000</v>
      </c>
      <c r="Q323" s="227"/>
      <c r="R323" s="207" t="s">
        <v>1355</v>
      </c>
      <c r="S323" s="207">
        <v>0</v>
      </c>
      <c r="T323" s="205">
        <f t="shared" si="4"/>
        <v>230000</v>
      </c>
      <c r="U323" s="208"/>
    </row>
    <row r="324" spans="2:21" x14ac:dyDescent="0.3">
      <c r="B324" s="227"/>
      <c r="C324" s="227"/>
      <c r="D324" s="227"/>
      <c r="E324" s="227"/>
      <c r="F324" s="204" t="s">
        <v>109</v>
      </c>
      <c r="G324" s="205">
        <v>100000</v>
      </c>
      <c r="H324" s="227"/>
      <c r="I324" s="205" t="s">
        <v>381</v>
      </c>
      <c r="J324" s="205">
        <v>100000</v>
      </c>
      <c r="K324" s="227"/>
      <c r="L324" s="255" t="s">
        <v>226</v>
      </c>
      <c r="M324" s="214">
        <v>0</v>
      </c>
      <c r="N324" s="227"/>
      <c r="O324" s="207" t="s">
        <v>1243</v>
      </c>
      <c r="P324" s="207">
        <v>30000</v>
      </c>
      <c r="Q324" s="227"/>
      <c r="R324" s="207" t="s">
        <v>1355</v>
      </c>
      <c r="S324" s="262">
        <v>0</v>
      </c>
      <c r="T324" s="205">
        <f t="shared" si="4"/>
        <v>230000</v>
      </c>
      <c r="U324" s="208"/>
    </row>
    <row r="325" spans="2:21" x14ac:dyDescent="0.3">
      <c r="B325" s="227"/>
      <c r="C325" s="227"/>
      <c r="D325" s="227"/>
      <c r="E325" s="227"/>
      <c r="F325" s="204" t="s">
        <v>1351</v>
      </c>
      <c r="G325" s="205">
        <v>100000</v>
      </c>
      <c r="H325" s="227"/>
      <c r="I325" s="205" t="s">
        <v>381</v>
      </c>
      <c r="J325" s="205">
        <v>100000</v>
      </c>
      <c r="K325" s="227"/>
      <c r="L325" s="255" t="s">
        <v>226</v>
      </c>
      <c r="M325" s="214">
        <v>0</v>
      </c>
      <c r="N325" s="227"/>
      <c r="O325" s="207" t="s">
        <v>1243</v>
      </c>
      <c r="P325" s="207">
        <v>30000</v>
      </c>
      <c r="Q325" s="227"/>
      <c r="R325" s="207" t="s">
        <v>1355</v>
      </c>
      <c r="S325" s="262">
        <v>0</v>
      </c>
      <c r="T325" s="205">
        <f t="shared" si="4"/>
        <v>230000</v>
      </c>
      <c r="U325" s="208"/>
    </row>
    <row r="326" spans="2:21" x14ac:dyDescent="0.3">
      <c r="B326" s="227"/>
      <c r="C326" s="227"/>
      <c r="D326" s="227"/>
      <c r="E326" s="227"/>
      <c r="F326" s="204" t="s">
        <v>112</v>
      </c>
      <c r="G326" s="205">
        <v>100000</v>
      </c>
      <c r="H326" s="227"/>
      <c r="I326" s="205" t="s">
        <v>381</v>
      </c>
      <c r="J326" s="205">
        <v>100000</v>
      </c>
      <c r="K326" s="227"/>
      <c r="L326" s="255" t="s">
        <v>226</v>
      </c>
      <c r="M326" s="214">
        <v>0</v>
      </c>
      <c r="N326" s="227"/>
      <c r="O326" s="207" t="s">
        <v>1243</v>
      </c>
      <c r="P326" s="207">
        <v>30000</v>
      </c>
      <c r="Q326" s="227"/>
      <c r="R326" s="207" t="s">
        <v>1355</v>
      </c>
      <c r="S326" s="262">
        <v>0</v>
      </c>
      <c r="T326" s="205">
        <f t="shared" si="4"/>
        <v>230000</v>
      </c>
      <c r="U326" s="208"/>
    </row>
    <row r="327" spans="2:21" x14ac:dyDescent="0.3">
      <c r="B327" s="227"/>
      <c r="C327" s="227"/>
      <c r="D327" s="227"/>
      <c r="E327" s="227"/>
      <c r="F327" s="204" t="s">
        <v>113</v>
      </c>
      <c r="G327" s="205">
        <v>100000</v>
      </c>
      <c r="H327" s="227"/>
      <c r="I327" s="205" t="s">
        <v>381</v>
      </c>
      <c r="J327" s="205">
        <v>100000</v>
      </c>
      <c r="K327" s="227"/>
      <c r="L327" s="255" t="s">
        <v>226</v>
      </c>
      <c r="M327" s="214">
        <v>0</v>
      </c>
      <c r="N327" s="227"/>
      <c r="O327" s="207" t="s">
        <v>1243</v>
      </c>
      <c r="P327" s="207">
        <v>30000</v>
      </c>
      <c r="Q327" s="227"/>
      <c r="R327" s="207" t="s">
        <v>1355</v>
      </c>
      <c r="S327" s="262">
        <v>0</v>
      </c>
      <c r="T327" s="205">
        <f t="shared" si="4"/>
        <v>230000</v>
      </c>
      <c r="U327" s="208"/>
    </row>
    <row r="328" spans="2:21" x14ac:dyDescent="0.3">
      <c r="B328" s="227"/>
      <c r="C328" s="227"/>
      <c r="D328" s="227"/>
      <c r="E328" s="227"/>
      <c r="F328" s="204" t="s">
        <v>116</v>
      </c>
      <c r="G328" s="205">
        <v>100000</v>
      </c>
      <c r="H328" s="227"/>
      <c r="I328" s="205" t="s">
        <v>381</v>
      </c>
      <c r="J328" s="205">
        <v>100000</v>
      </c>
      <c r="K328" s="227"/>
      <c r="L328" s="255" t="s">
        <v>226</v>
      </c>
      <c r="M328" s="205">
        <v>0</v>
      </c>
      <c r="N328" s="227"/>
      <c r="O328" s="207" t="s">
        <v>1243</v>
      </c>
      <c r="P328" s="207">
        <v>30000</v>
      </c>
      <c r="Q328" s="227"/>
      <c r="R328" s="207" t="s">
        <v>1355</v>
      </c>
      <c r="S328" s="207">
        <v>0</v>
      </c>
      <c r="T328" s="205">
        <f t="shared" ref="T328:T391" si="5">SUM(J328,G328,M328,P328,S328)</f>
        <v>230000</v>
      </c>
      <c r="U328" s="208"/>
    </row>
    <row r="329" spans="2:21" x14ac:dyDescent="0.3">
      <c r="B329" s="212"/>
      <c r="C329" s="213"/>
      <c r="D329" s="213"/>
      <c r="E329" s="230"/>
      <c r="F329" s="214" t="s">
        <v>155</v>
      </c>
      <c r="G329" s="214">
        <v>100000</v>
      </c>
      <c r="H329" s="230"/>
      <c r="I329" s="216" t="s">
        <v>159</v>
      </c>
      <c r="J329" s="215">
        <v>50000</v>
      </c>
      <c r="K329" s="230"/>
      <c r="L329" s="253" t="s">
        <v>226</v>
      </c>
      <c r="M329" s="214">
        <v>0</v>
      </c>
      <c r="N329" s="230"/>
      <c r="O329" s="252" t="s">
        <v>1243</v>
      </c>
      <c r="P329" s="261">
        <v>30000</v>
      </c>
      <c r="Q329" s="230"/>
      <c r="R329" s="252" t="s">
        <v>1355</v>
      </c>
      <c r="S329" s="261">
        <v>0</v>
      </c>
      <c r="T329" s="249">
        <f t="shared" si="5"/>
        <v>180000</v>
      </c>
      <c r="U329" s="217"/>
    </row>
    <row r="330" spans="2:21" x14ac:dyDescent="0.3">
      <c r="B330" s="212"/>
      <c r="C330" s="213"/>
      <c r="D330" s="213"/>
      <c r="E330" s="230"/>
      <c r="F330" s="214" t="s">
        <v>155</v>
      </c>
      <c r="G330" s="214">
        <v>100000</v>
      </c>
      <c r="H330" s="230"/>
      <c r="I330" s="216" t="s">
        <v>381</v>
      </c>
      <c r="J330" s="215">
        <v>50000</v>
      </c>
      <c r="K330" s="230"/>
      <c r="L330" s="253" t="s">
        <v>226</v>
      </c>
      <c r="M330" s="214">
        <v>0</v>
      </c>
      <c r="N330" s="230"/>
      <c r="O330" s="252" t="s">
        <v>1243</v>
      </c>
      <c r="P330" s="261">
        <v>30000</v>
      </c>
      <c r="Q330" s="230"/>
      <c r="R330" s="252" t="s">
        <v>1355</v>
      </c>
      <c r="S330" s="261">
        <v>0</v>
      </c>
      <c r="T330" s="249">
        <f t="shared" si="5"/>
        <v>180000</v>
      </c>
      <c r="U330" s="217"/>
    </row>
    <row r="331" spans="2:21" x14ac:dyDescent="0.3">
      <c r="B331" s="227"/>
      <c r="C331" s="227"/>
      <c r="D331" s="227"/>
      <c r="E331" s="227"/>
      <c r="F331" s="206" t="s">
        <v>1288</v>
      </c>
      <c r="G331" s="205">
        <v>100000</v>
      </c>
      <c r="H331" s="227"/>
      <c r="I331" s="205" t="s">
        <v>159</v>
      </c>
      <c r="J331" s="205">
        <v>100000</v>
      </c>
      <c r="K331" s="227"/>
      <c r="L331" s="255" t="s">
        <v>226</v>
      </c>
      <c r="M331" s="214">
        <v>0</v>
      </c>
      <c r="N331" s="227"/>
      <c r="O331" s="207" t="s">
        <v>1243</v>
      </c>
      <c r="P331" s="207">
        <v>30000</v>
      </c>
      <c r="Q331" s="227"/>
      <c r="R331" s="207" t="s">
        <v>1355</v>
      </c>
      <c r="S331" s="262">
        <v>0</v>
      </c>
      <c r="T331" s="205">
        <f t="shared" si="5"/>
        <v>230000</v>
      </c>
      <c r="U331" s="208"/>
    </row>
    <row r="332" spans="2:21" x14ac:dyDescent="0.3">
      <c r="B332" s="227"/>
      <c r="C332" s="227"/>
      <c r="D332" s="227"/>
      <c r="E332" s="227"/>
      <c r="F332" s="206" t="s">
        <v>1288</v>
      </c>
      <c r="G332" s="205">
        <v>100000</v>
      </c>
      <c r="H332" s="227"/>
      <c r="I332" s="205" t="s">
        <v>381</v>
      </c>
      <c r="J332" s="205">
        <v>100000</v>
      </c>
      <c r="K332" s="227"/>
      <c r="L332" s="255" t="s">
        <v>226</v>
      </c>
      <c r="M332" s="214">
        <v>0</v>
      </c>
      <c r="N332" s="227"/>
      <c r="O332" s="207" t="s">
        <v>1243</v>
      </c>
      <c r="P332" s="207">
        <v>30000</v>
      </c>
      <c r="Q332" s="227"/>
      <c r="R332" s="207" t="s">
        <v>1355</v>
      </c>
      <c r="S332" s="262">
        <v>0</v>
      </c>
      <c r="T332" s="205">
        <f t="shared" si="5"/>
        <v>230000</v>
      </c>
      <c r="U332" s="208"/>
    </row>
    <row r="333" spans="2:21" x14ac:dyDescent="0.3">
      <c r="B333" s="227"/>
      <c r="C333" s="227"/>
      <c r="D333" s="227"/>
      <c r="E333" s="227"/>
      <c r="F333" s="206" t="s">
        <v>1260</v>
      </c>
      <c r="G333" s="205">
        <v>100000</v>
      </c>
      <c r="H333" s="227"/>
      <c r="I333" s="205" t="s">
        <v>159</v>
      </c>
      <c r="J333" s="205">
        <v>100000</v>
      </c>
      <c r="K333" s="227"/>
      <c r="L333" s="255" t="s">
        <v>226</v>
      </c>
      <c r="M333" s="214">
        <v>0</v>
      </c>
      <c r="N333" s="227"/>
      <c r="O333" s="207" t="s">
        <v>1243</v>
      </c>
      <c r="P333" s="207">
        <v>30000</v>
      </c>
      <c r="Q333" s="227"/>
      <c r="R333" s="207" t="s">
        <v>1355</v>
      </c>
      <c r="S333" s="262">
        <v>0</v>
      </c>
      <c r="T333" s="205">
        <f t="shared" si="5"/>
        <v>230000</v>
      </c>
      <c r="U333" s="208"/>
    </row>
    <row r="334" spans="2:21" x14ac:dyDescent="0.3">
      <c r="B334" s="227"/>
      <c r="C334" s="227"/>
      <c r="D334" s="227"/>
      <c r="E334" s="227"/>
      <c r="F334" s="206" t="s">
        <v>1260</v>
      </c>
      <c r="G334" s="205">
        <v>100000</v>
      </c>
      <c r="H334" s="227"/>
      <c r="I334" s="205" t="s">
        <v>381</v>
      </c>
      <c r="J334" s="205">
        <v>100000</v>
      </c>
      <c r="K334" s="227"/>
      <c r="L334" s="255" t="s">
        <v>226</v>
      </c>
      <c r="M334" s="214">
        <v>0</v>
      </c>
      <c r="N334" s="227"/>
      <c r="O334" s="207" t="s">
        <v>1243</v>
      </c>
      <c r="P334" s="207">
        <v>30000</v>
      </c>
      <c r="Q334" s="227"/>
      <c r="R334" s="207" t="s">
        <v>1355</v>
      </c>
      <c r="S334" s="262">
        <v>0</v>
      </c>
      <c r="T334" s="205">
        <f t="shared" si="5"/>
        <v>230000</v>
      </c>
      <c r="U334" s="208"/>
    </row>
    <row r="335" spans="2:21" x14ac:dyDescent="0.3">
      <c r="B335" s="227"/>
      <c r="C335" s="227"/>
      <c r="D335" s="227"/>
      <c r="E335" s="227"/>
      <c r="F335" s="204" t="s">
        <v>109</v>
      </c>
      <c r="G335" s="205">
        <v>100000</v>
      </c>
      <c r="H335" s="227"/>
      <c r="I335" s="207" t="s">
        <v>1311</v>
      </c>
      <c r="J335" s="205">
        <v>100000</v>
      </c>
      <c r="K335" s="227"/>
      <c r="L335" s="255" t="s">
        <v>226</v>
      </c>
      <c r="M335" s="214">
        <v>0</v>
      </c>
      <c r="N335" s="227"/>
      <c r="O335" s="207" t="s">
        <v>1243</v>
      </c>
      <c r="P335" s="207">
        <v>30000</v>
      </c>
      <c r="Q335" s="227"/>
      <c r="R335" s="207" t="s">
        <v>1355</v>
      </c>
      <c r="S335" s="262">
        <v>0</v>
      </c>
      <c r="T335" s="205">
        <f t="shared" si="5"/>
        <v>230000</v>
      </c>
      <c r="U335" s="208"/>
    </row>
    <row r="336" spans="2:21" x14ac:dyDescent="0.3">
      <c r="B336" s="227"/>
      <c r="C336" s="227"/>
      <c r="D336" s="227"/>
      <c r="E336" s="227"/>
      <c r="F336" s="204" t="s">
        <v>1351</v>
      </c>
      <c r="G336" s="205">
        <v>100000</v>
      </c>
      <c r="H336" s="227"/>
      <c r="I336" s="207" t="s">
        <v>1311</v>
      </c>
      <c r="J336" s="205">
        <v>100000</v>
      </c>
      <c r="K336" s="227"/>
      <c r="L336" s="255" t="s">
        <v>226</v>
      </c>
      <c r="M336" s="214">
        <v>0</v>
      </c>
      <c r="N336" s="227"/>
      <c r="O336" s="207" t="s">
        <v>1243</v>
      </c>
      <c r="P336" s="207">
        <v>30000</v>
      </c>
      <c r="Q336" s="227"/>
      <c r="R336" s="207" t="s">
        <v>1355</v>
      </c>
      <c r="S336" s="262">
        <v>0</v>
      </c>
      <c r="T336" s="205">
        <f t="shared" si="5"/>
        <v>230000</v>
      </c>
      <c r="U336" s="208"/>
    </row>
    <row r="337" spans="2:21" x14ac:dyDescent="0.3">
      <c r="B337" s="227"/>
      <c r="C337" s="227"/>
      <c r="D337" s="227"/>
      <c r="E337" s="227"/>
      <c r="F337" s="204" t="s">
        <v>112</v>
      </c>
      <c r="G337" s="205">
        <v>100000</v>
      </c>
      <c r="H337" s="227"/>
      <c r="I337" s="207" t="s">
        <v>1311</v>
      </c>
      <c r="J337" s="205">
        <v>100000</v>
      </c>
      <c r="K337" s="227"/>
      <c r="L337" s="255" t="s">
        <v>226</v>
      </c>
      <c r="M337" s="214">
        <v>0</v>
      </c>
      <c r="N337" s="227"/>
      <c r="O337" s="207" t="s">
        <v>1243</v>
      </c>
      <c r="P337" s="207">
        <v>30000</v>
      </c>
      <c r="Q337" s="227"/>
      <c r="R337" s="207" t="s">
        <v>1355</v>
      </c>
      <c r="S337" s="262">
        <v>0</v>
      </c>
      <c r="T337" s="205">
        <f t="shared" si="5"/>
        <v>230000</v>
      </c>
      <c r="U337" s="208"/>
    </row>
    <row r="338" spans="2:21" x14ac:dyDescent="0.3">
      <c r="B338" s="227"/>
      <c r="C338" s="227"/>
      <c r="D338" s="227"/>
      <c r="E338" s="227"/>
      <c r="F338" s="204" t="s">
        <v>113</v>
      </c>
      <c r="G338" s="205">
        <v>100000</v>
      </c>
      <c r="H338" s="227"/>
      <c r="I338" s="207" t="s">
        <v>1311</v>
      </c>
      <c r="J338" s="205">
        <v>100000</v>
      </c>
      <c r="K338" s="227"/>
      <c r="L338" s="255" t="s">
        <v>226</v>
      </c>
      <c r="M338" s="214">
        <v>0</v>
      </c>
      <c r="N338" s="227"/>
      <c r="O338" s="207" t="s">
        <v>1243</v>
      </c>
      <c r="P338" s="207">
        <v>30000</v>
      </c>
      <c r="Q338" s="227"/>
      <c r="R338" s="207" t="s">
        <v>1355</v>
      </c>
      <c r="S338" s="262">
        <v>0</v>
      </c>
      <c r="T338" s="205">
        <f t="shared" si="5"/>
        <v>230000</v>
      </c>
      <c r="U338" s="208"/>
    </row>
    <row r="339" spans="2:21" x14ac:dyDescent="0.3">
      <c r="B339" s="227"/>
      <c r="C339" s="227"/>
      <c r="D339" s="227"/>
      <c r="E339" s="227"/>
      <c r="F339" s="204" t="s">
        <v>116</v>
      </c>
      <c r="G339" s="205">
        <v>100000</v>
      </c>
      <c r="H339" s="227"/>
      <c r="I339" s="207" t="s">
        <v>1311</v>
      </c>
      <c r="J339" s="205">
        <v>100000</v>
      </c>
      <c r="K339" s="227"/>
      <c r="L339" s="255" t="s">
        <v>226</v>
      </c>
      <c r="M339" s="205">
        <v>0</v>
      </c>
      <c r="N339" s="227"/>
      <c r="O339" s="207" t="s">
        <v>1243</v>
      </c>
      <c r="P339" s="207">
        <v>30000</v>
      </c>
      <c r="Q339" s="227"/>
      <c r="R339" s="207" t="s">
        <v>1355</v>
      </c>
      <c r="S339" s="207">
        <v>0</v>
      </c>
      <c r="T339" s="205">
        <f t="shared" si="5"/>
        <v>230000</v>
      </c>
      <c r="U339" s="208"/>
    </row>
    <row r="340" spans="2:21" x14ac:dyDescent="0.3">
      <c r="B340" s="212"/>
      <c r="C340" s="213"/>
      <c r="D340" s="213"/>
      <c r="E340" s="230"/>
      <c r="F340" s="214" t="s">
        <v>155</v>
      </c>
      <c r="G340" s="214">
        <v>100000</v>
      </c>
      <c r="H340" s="230"/>
      <c r="I340" s="252" t="s">
        <v>1311</v>
      </c>
      <c r="J340" s="215">
        <v>50000</v>
      </c>
      <c r="K340" s="230"/>
      <c r="L340" s="253" t="s">
        <v>226</v>
      </c>
      <c r="M340" s="214">
        <v>0</v>
      </c>
      <c r="N340" s="230"/>
      <c r="O340" s="252" t="s">
        <v>1243</v>
      </c>
      <c r="P340" s="261">
        <v>30000</v>
      </c>
      <c r="Q340" s="230"/>
      <c r="R340" s="252" t="s">
        <v>1355</v>
      </c>
      <c r="S340" s="261">
        <v>0</v>
      </c>
      <c r="T340" s="249">
        <f t="shared" si="5"/>
        <v>180000</v>
      </c>
      <c r="U340" s="217"/>
    </row>
    <row r="341" spans="2:21" x14ac:dyDescent="0.3">
      <c r="B341" s="227"/>
      <c r="C341" s="227"/>
      <c r="D341" s="227"/>
      <c r="E341" s="227"/>
      <c r="F341" s="206" t="s">
        <v>1288</v>
      </c>
      <c r="G341" s="205">
        <v>100000</v>
      </c>
      <c r="H341" s="227"/>
      <c r="I341" s="207" t="s">
        <v>1311</v>
      </c>
      <c r="J341" s="205">
        <v>100000</v>
      </c>
      <c r="K341" s="227"/>
      <c r="L341" s="255" t="s">
        <v>226</v>
      </c>
      <c r="M341" s="214">
        <v>0</v>
      </c>
      <c r="N341" s="227"/>
      <c r="O341" s="207" t="s">
        <v>1243</v>
      </c>
      <c r="P341" s="207">
        <v>30000</v>
      </c>
      <c r="Q341" s="227"/>
      <c r="R341" s="207" t="s">
        <v>1355</v>
      </c>
      <c r="S341" s="262">
        <v>0</v>
      </c>
      <c r="T341" s="205">
        <f t="shared" si="5"/>
        <v>230000</v>
      </c>
      <c r="U341" s="208"/>
    </row>
    <row r="342" spans="2:21" x14ac:dyDescent="0.3">
      <c r="B342" s="227"/>
      <c r="C342" s="227"/>
      <c r="D342" s="227"/>
      <c r="E342" s="227"/>
      <c r="F342" s="206" t="s">
        <v>1260</v>
      </c>
      <c r="G342" s="205">
        <v>100000</v>
      </c>
      <c r="H342" s="227"/>
      <c r="I342" s="207" t="s">
        <v>1311</v>
      </c>
      <c r="J342" s="205">
        <v>100000</v>
      </c>
      <c r="K342" s="227"/>
      <c r="L342" s="255" t="s">
        <v>226</v>
      </c>
      <c r="M342" s="214">
        <v>0</v>
      </c>
      <c r="N342" s="227"/>
      <c r="O342" s="207" t="s">
        <v>1243</v>
      </c>
      <c r="P342" s="207">
        <v>30000</v>
      </c>
      <c r="Q342" s="227"/>
      <c r="R342" s="207" t="s">
        <v>1355</v>
      </c>
      <c r="S342" s="262">
        <v>0</v>
      </c>
      <c r="T342" s="205">
        <f t="shared" si="5"/>
        <v>230000</v>
      </c>
      <c r="U342" s="208"/>
    </row>
    <row r="343" spans="2:21" x14ac:dyDescent="0.3">
      <c r="B343" s="227"/>
      <c r="C343" s="227"/>
      <c r="D343" s="227"/>
      <c r="E343" s="227"/>
      <c r="F343" s="206" t="s">
        <v>1257</v>
      </c>
      <c r="G343" s="205">
        <v>100000</v>
      </c>
      <c r="H343" s="227"/>
      <c r="I343" s="205" t="s">
        <v>159</v>
      </c>
      <c r="J343" s="205">
        <v>100000</v>
      </c>
      <c r="K343" s="227"/>
      <c r="L343" s="255" t="s">
        <v>226</v>
      </c>
      <c r="M343" s="205">
        <v>0</v>
      </c>
      <c r="N343" s="227"/>
      <c r="O343" s="207" t="s">
        <v>1207</v>
      </c>
      <c r="P343" s="207">
        <v>100000</v>
      </c>
      <c r="Q343" s="227"/>
      <c r="R343" s="207" t="s">
        <v>1355</v>
      </c>
      <c r="S343" s="207">
        <v>0</v>
      </c>
      <c r="T343" s="205">
        <f t="shared" si="5"/>
        <v>300000</v>
      </c>
      <c r="U343" s="208"/>
    </row>
    <row r="344" spans="2:21" x14ac:dyDescent="0.3">
      <c r="B344" s="227"/>
      <c r="C344" s="227"/>
      <c r="D344" s="227"/>
      <c r="E344" s="227"/>
      <c r="F344" s="206" t="s">
        <v>1257</v>
      </c>
      <c r="G344" s="205">
        <v>100000</v>
      </c>
      <c r="H344" s="227"/>
      <c r="I344" s="205" t="s">
        <v>381</v>
      </c>
      <c r="J344" s="205">
        <v>100000</v>
      </c>
      <c r="K344" s="227"/>
      <c r="L344" s="255" t="s">
        <v>226</v>
      </c>
      <c r="M344" s="205">
        <v>0</v>
      </c>
      <c r="N344" s="227"/>
      <c r="O344" s="207" t="s">
        <v>1207</v>
      </c>
      <c r="P344" s="207">
        <v>100000</v>
      </c>
      <c r="Q344" s="227"/>
      <c r="R344" s="207" t="s">
        <v>1355</v>
      </c>
      <c r="S344" s="207">
        <v>0</v>
      </c>
      <c r="T344" s="205">
        <f t="shared" si="5"/>
        <v>300000</v>
      </c>
      <c r="U344" s="208"/>
    </row>
    <row r="345" spans="2:21" x14ac:dyDescent="0.3">
      <c r="B345" s="227"/>
      <c r="C345" s="227"/>
      <c r="D345" s="227"/>
      <c r="E345" s="227"/>
      <c r="F345" s="257" t="s">
        <v>1257</v>
      </c>
      <c r="G345" s="210">
        <v>100000</v>
      </c>
      <c r="H345" s="227"/>
      <c r="I345" s="260" t="s">
        <v>1311</v>
      </c>
      <c r="J345" s="210">
        <v>100000</v>
      </c>
      <c r="K345" s="227"/>
      <c r="L345" s="256" t="s">
        <v>226</v>
      </c>
      <c r="M345" s="210">
        <v>0</v>
      </c>
      <c r="N345" s="227"/>
      <c r="O345" s="260" t="s">
        <v>1207</v>
      </c>
      <c r="P345" s="260">
        <v>100000</v>
      </c>
      <c r="Q345" s="227"/>
      <c r="R345" s="260" t="s">
        <v>1355</v>
      </c>
      <c r="S345" s="260">
        <v>0</v>
      </c>
      <c r="T345" s="210">
        <f t="shared" si="5"/>
        <v>300000</v>
      </c>
      <c r="U345" s="208"/>
    </row>
    <row r="346" spans="2:21" x14ac:dyDescent="0.3">
      <c r="B346" s="227"/>
      <c r="C346" s="227"/>
      <c r="D346" s="227"/>
      <c r="E346" s="227"/>
      <c r="F346" s="206" t="s">
        <v>1257</v>
      </c>
      <c r="G346" s="205">
        <v>100000</v>
      </c>
      <c r="H346" s="227"/>
      <c r="I346" s="205" t="s">
        <v>159</v>
      </c>
      <c r="J346" s="205">
        <v>100000</v>
      </c>
      <c r="K346" s="227"/>
      <c r="L346" s="255" t="s">
        <v>226</v>
      </c>
      <c r="M346" s="205">
        <v>0</v>
      </c>
      <c r="N346" s="227"/>
      <c r="O346" s="207" t="s">
        <v>1242</v>
      </c>
      <c r="P346" s="207">
        <v>30000</v>
      </c>
      <c r="Q346" s="227"/>
      <c r="R346" s="207" t="s">
        <v>1355</v>
      </c>
      <c r="S346" s="207">
        <v>0</v>
      </c>
      <c r="T346" s="205">
        <f t="shared" si="5"/>
        <v>230000</v>
      </c>
      <c r="U346" s="208"/>
    </row>
    <row r="347" spans="2:21" x14ac:dyDescent="0.3">
      <c r="B347" s="227"/>
      <c r="C347" s="227"/>
      <c r="D347" s="227"/>
      <c r="E347" s="227"/>
      <c r="F347" s="206" t="s">
        <v>1257</v>
      </c>
      <c r="G347" s="205">
        <v>100000</v>
      </c>
      <c r="H347" s="227"/>
      <c r="I347" s="205" t="s">
        <v>381</v>
      </c>
      <c r="J347" s="205">
        <v>100000</v>
      </c>
      <c r="K347" s="227"/>
      <c r="L347" s="255" t="s">
        <v>226</v>
      </c>
      <c r="M347" s="205">
        <v>0</v>
      </c>
      <c r="N347" s="227"/>
      <c r="O347" s="207" t="s">
        <v>1242</v>
      </c>
      <c r="P347" s="207">
        <v>30000</v>
      </c>
      <c r="Q347" s="227"/>
      <c r="R347" s="207" t="s">
        <v>1355</v>
      </c>
      <c r="S347" s="207">
        <v>0</v>
      </c>
      <c r="T347" s="205">
        <f t="shared" si="5"/>
        <v>230000</v>
      </c>
      <c r="U347" s="208"/>
    </row>
    <row r="348" spans="2:21" x14ac:dyDescent="0.3">
      <c r="B348" s="227"/>
      <c r="C348" s="227"/>
      <c r="D348" s="227"/>
      <c r="E348" s="227"/>
      <c r="F348" s="206" t="s">
        <v>1257</v>
      </c>
      <c r="G348" s="205">
        <v>100000</v>
      </c>
      <c r="H348" s="227"/>
      <c r="I348" s="207" t="s">
        <v>1311</v>
      </c>
      <c r="J348" s="205">
        <v>100000</v>
      </c>
      <c r="K348" s="227"/>
      <c r="L348" s="255" t="s">
        <v>226</v>
      </c>
      <c r="M348" s="205">
        <v>0</v>
      </c>
      <c r="N348" s="227"/>
      <c r="O348" s="207" t="s">
        <v>1242</v>
      </c>
      <c r="P348" s="207">
        <v>30000</v>
      </c>
      <c r="Q348" s="227"/>
      <c r="R348" s="207" t="s">
        <v>1355</v>
      </c>
      <c r="S348" s="207">
        <v>0</v>
      </c>
      <c r="T348" s="205">
        <f t="shared" si="5"/>
        <v>230000</v>
      </c>
      <c r="U348" s="208"/>
    </row>
    <row r="349" spans="2:21" x14ac:dyDescent="0.3">
      <c r="B349" s="227"/>
      <c r="C349" s="227"/>
      <c r="D349" s="227"/>
      <c r="E349" s="227"/>
      <c r="F349" s="206" t="s">
        <v>1257</v>
      </c>
      <c r="G349" s="205">
        <v>100000</v>
      </c>
      <c r="H349" s="227"/>
      <c r="I349" s="205" t="s">
        <v>159</v>
      </c>
      <c r="J349" s="205">
        <v>100000</v>
      </c>
      <c r="K349" s="227"/>
      <c r="L349" s="255" t="s">
        <v>226</v>
      </c>
      <c r="M349" s="205">
        <v>0</v>
      </c>
      <c r="N349" s="227"/>
      <c r="O349" s="207" t="s">
        <v>1243</v>
      </c>
      <c r="P349" s="207">
        <v>30000</v>
      </c>
      <c r="Q349" s="227"/>
      <c r="R349" s="207" t="s">
        <v>1355</v>
      </c>
      <c r="S349" s="207">
        <v>0</v>
      </c>
      <c r="T349" s="205">
        <f t="shared" si="5"/>
        <v>230000</v>
      </c>
      <c r="U349" s="208"/>
    </row>
    <row r="350" spans="2:21" x14ac:dyDescent="0.3">
      <c r="B350" s="227"/>
      <c r="C350" s="227"/>
      <c r="D350" s="227"/>
      <c r="E350" s="227"/>
      <c r="F350" s="206" t="s">
        <v>1257</v>
      </c>
      <c r="G350" s="205">
        <v>100000</v>
      </c>
      <c r="H350" s="227"/>
      <c r="I350" s="205" t="s">
        <v>381</v>
      </c>
      <c r="J350" s="205">
        <v>100000</v>
      </c>
      <c r="K350" s="227"/>
      <c r="L350" s="255" t="s">
        <v>226</v>
      </c>
      <c r="M350" s="205">
        <v>0</v>
      </c>
      <c r="N350" s="227"/>
      <c r="O350" s="207" t="s">
        <v>1243</v>
      </c>
      <c r="P350" s="207">
        <v>30000</v>
      </c>
      <c r="Q350" s="227"/>
      <c r="R350" s="207" t="s">
        <v>1355</v>
      </c>
      <c r="S350" s="207">
        <v>0</v>
      </c>
      <c r="T350" s="205">
        <f t="shared" si="5"/>
        <v>230000</v>
      </c>
      <c r="U350" s="208"/>
    </row>
    <row r="351" spans="2:21" x14ac:dyDescent="0.3">
      <c r="B351" s="227"/>
      <c r="C351" s="227"/>
      <c r="D351" s="227"/>
      <c r="E351" s="227"/>
      <c r="F351" s="206" t="s">
        <v>1257</v>
      </c>
      <c r="G351" s="205">
        <v>100000</v>
      </c>
      <c r="H351" s="227"/>
      <c r="I351" s="207" t="s">
        <v>1311</v>
      </c>
      <c r="J351" s="205">
        <v>100000</v>
      </c>
      <c r="K351" s="227"/>
      <c r="L351" s="255" t="s">
        <v>226</v>
      </c>
      <c r="M351" s="205">
        <v>0</v>
      </c>
      <c r="N351" s="227"/>
      <c r="O351" s="207" t="s">
        <v>1243</v>
      </c>
      <c r="P351" s="207">
        <v>30000</v>
      </c>
      <c r="Q351" s="227"/>
      <c r="R351" s="207" t="s">
        <v>1355</v>
      </c>
      <c r="S351" s="207">
        <v>0</v>
      </c>
      <c r="T351" s="205">
        <f t="shared" si="5"/>
        <v>230000</v>
      </c>
      <c r="U351" s="208"/>
    </row>
    <row r="352" spans="2:21" x14ac:dyDescent="0.3">
      <c r="B352" s="227"/>
      <c r="C352" s="227"/>
      <c r="D352" s="227"/>
      <c r="E352" s="227"/>
      <c r="F352" s="206" t="s">
        <v>1272</v>
      </c>
      <c r="G352" s="205">
        <v>100000</v>
      </c>
      <c r="H352" s="227"/>
      <c r="I352" s="205" t="s">
        <v>381</v>
      </c>
      <c r="J352" s="205">
        <v>100000</v>
      </c>
      <c r="K352" s="227"/>
      <c r="L352" s="255" t="s">
        <v>226</v>
      </c>
      <c r="M352" s="205">
        <v>0</v>
      </c>
      <c r="N352" s="227"/>
      <c r="O352" s="207" t="s">
        <v>1207</v>
      </c>
      <c r="P352" s="207">
        <v>100000</v>
      </c>
      <c r="Q352" s="227"/>
      <c r="R352" s="207" t="s">
        <v>1355</v>
      </c>
      <c r="S352" s="207">
        <v>0</v>
      </c>
      <c r="T352" s="205">
        <f t="shared" si="5"/>
        <v>300000</v>
      </c>
      <c r="U352" s="208"/>
    </row>
    <row r="353" spans="2:21" x14ac:dyDescent="0.3">
      <c r="B353" s="227"/>
      <c r="C353" s="227"/>
      <c r="D353" s="227"/>
      <c r="E353" s="227"/>
      <c r="F353" s="257" t="s">
        <v>1272</v>
      </c>
      <c r="G353" s="210">
        <v>100000</v>
      </c>
      <c r="H353" s="227"/>
      <c r="I353" s="260" t="s">
        <v>1311</v>
      </c>
      <c r="J353" s="210">
        <v>100000</v>
      </c>
      <c r="K353" s="227"/>
      <c r="L353" s="256" t="s">
        <v>226</v>
      </c>
      <c r="M353" s="210">
        <v>0</v>
      </c>
      <c r="N353" s="227"/>
      <c r="O353" s="260" t="s">
        <v>1207</v>
      </c>
      <c r="P353" s="260">
        <v>100000</v>
      </c>
      <c r="Q353" s="227"/>
      <c r="R353" s="260" t="s">
        <v>1355</v>
      </c>
      <c r="S353" s="260">
        <v>0</v>
      </c>
      <c r="T353" s="210">
        <f t="shared" si="5"/>
        <v>300000</v>
      </c>
      <c r="U353" s="208"/>
    </row>
    <row r="354" spans="2:21" x14ac:dyDescent="0.3">
      <c r="B354" s="227"/>
      <c r="C354" s="227"/>
      <c r="D354" s="227"/>
      <c r="E354" s="227"/>
      <c r="F354" s="206" t="s">
        <v>1272</v>
      </c>
      <c r="G354" s="205">
        <v>100000</v>
      </c>
      <c r="H354" s="227"/>
      <c r="I354" s="205" t="s">
        <v>381</v>
      </c>
      <c r="J354" s="205">
        <v>100000</v>
      </c>
      <c r="K354" s="227"/>
      <c r="L354" s="255" t="s">
        <v>226</v>
      </c>
      <c r="M354" s="205">
        <v>0</v>
      </c>
      <c r="N354" s="227"/>
      <c r="O354" s="207" t="s">
        <v>1242</v>
      </c>
      <c r="P354" s="207">
        <v>30000</v>
      </c>
      <c r="Q354" s="227"/>
      <c r="R354" s="207" t="s">
        <v>1355</v>
      </c>
      <c r="S354" s="207">
        <v>0</v>
      </c>
      <c r="T354" s="205">
        <f t="shared" si="5"/>
        <v>230000</v>
      </c>
      <c r="U354" s="208"/>
    </row>
    <row r="355" spans="2:21" x14ac:dyDescent="0.3">
      <c r="B355" s="227"/>
      <c r="C355" s="227"/>
      <c r="D355" s="227"/>
      <c r="E355" s="227"/>
      <c r="F355" s="206" t="s">
        <v>1272</v>
      </c>
      <c r="G355" s="205">
        <v>100000</v>
      </c>
      <c r="H355" s="227"/>
      <c r="I355" s="207" t="s">
        <v>1311</v>
      </c>
      <c r="J355" s="205">
        <v>100000</v>
      </c>
      <c r="K355" s="227"/>
      <c r="L355" s="255" t="s">
        <v>226</v>
      </c>
      <c r="M355" s="205">
        <v>0</v>
      </c>
      <c r="N355" s="227"/>
      <c r="O355" s="207" t="s">
        <v>1242</v>
      </c>
      <c r="P355" s="207">
        <v>30000</v>
      </c>
      <c r="Q355" s="227"/>
      <c r="R355" s="207" t="s">
        <v>1355</v>
      </c>
      <c r="S355" s="207">
        <v>0</v>
      </c>
      <c r="T355" s="205">
        <f t="shared" si="5"/>
        <v>230000</v>
      </c>
      <c r="U355" s="208"/>
    </row>
    <row r="356" spans="2:21" x14ac:dyDescent="0.3">
      <c r="B356" s="227"/>
      <c r="C356" s="227"/>
      <c r="D356" s="227"/>
      <c r="E356" s="227"/>
      <c r="F356" s="206" t="s">
        <v>1272</v>
      </c>
      <c r="G356" s="205">
        <v>100000</v>
      </c>
      <c r="H356" s="227"/>
      <c r="I356" s="205" t="s">
        <v>381</v>
      </c>
      <c r="J356" s="205">
        <v>100000</v>
      </c>
      <c r="K356" s="227"/>
      <c r="L356" s="255" t="s">
        <v>226</v>
      </c>
      <c r="M356" s="205">
        <v>0</v>
      </c>
      <c r="N356" s="227"/>
      <c r="O356" s="207" t="s">
        <v>1243</v>
      </c>
      <c r="P356" s="207">
        <v>30000</v>
      </c>
      <c r="Q356" s="227"/>
      <c r="R356" s="207" t="s">
        <v>1355</v>
      </c>
      <c r="S356" s="207">
        <v>0</v>
      </c>
      <c r="T356" s="205">
        <f t="shared" si="5"/>
        <v>230000</v>
      </c>
      <c r="U356" s="208"/>
    </row>
    <row r="357" spans="2:21" x14ac:dyDescent="0.3">
      <c r="B357" s="227"/>
      <c r="C357" s="227"/>
      <c r="D357" s="227"/>
      <c r="E357" s="227"/>
      <c r="F357" s="206" t="s">
        <v>1272</v>
      </c>
      <c r="G357" s="205">
        <v>100000</v>
      </c>
      <c r="H357" s="227"/>
      <c r="I357" s="207" t="s">
        <v>1311</v>
      </c>
      <c r="J357" s="205">
        <v>100000</v>
      </c>
      <c r="K357" s="227"/>
      <c r="L357" s="255" t="s">
        <v>226</v>
      </c>
      <c r="M357" s="205">
        <v>0</v>
      </c>
      <c r="N357" s="227"/>
      <c r="O357" s="207" t="s">
        <v>1243</v>
      </c>
      <c r="P357" s="207">
        <v>30000</v>
      </c>
      <c r="Q357" s="227"/>
      <c r="R357" s="207" t="s">
        <v>1355</v>
      </c>
      <c r="S357" s="207">
        <v>0</v>
      </c>
      <c r="T357" s="205">
        <f t="shared" si="5"/>
        <v>230000</v>
      </c>
      <c r="U357" s="208"/>
    </row>
    <row r="358" spans="2:21" x14ac:dyDescent="0.3">
      <c r="B358" s="227"/>
      <c r="C358" s="227"/>
      <c r="D358" s="227"/>
      <c r="E358" s="227"/>
      <c r="F358" s="204" t="s">
        <v>1187</v>
      </c>
      <c r="G358" s="205">
        <v>100000</v>
      </c>
      <c r="H358" s="227"/>
      <c r="I358" s="205" t="s">
        <v>159</v>
      </c>
      <c r="J358" s="205">
        <v>100000</v>
      </c>
      <c r="K358" s="227"/>
      <c r="L358" s="255" t="s">
        <v>226</v>
      </c>
      <c r="M358" s="205">
        <v>0</v>
      </c>
      <c r="N358" s="227"/>
      <c r="O358" s="207" t="s">
        <v>1207</v>
      </c>
      <c r="P358" s="207">
        <v>100000</v>
      </c>
      <c r="Q358" s="227"/>
      <c r="R358" s="207" t="s">
        <v>1355</v>
      </c>
      <c r="S358" s="207">
        <v>0</v>
      </c>
      <c r="T358" s="205">
        <f t="shared" si="5"/>
        <v>300000</v>
      </c>
      <c r="U358" s="208"/>
    </row>
    <row r="359" spans="2:21" x14ac:dyDescent="0.3">
      <c r="B359" s="227"/>
      <c r="C359" s="227"/>
      <c r="D359" s="227"/>
      <c r="E359" s="227"/>
      <c r="F359" s="204" t="s">
        <v>1187</v>
      </c>
      <c r="G359" s="205">
        <v>100000</v>
      </c>
      <c r="H359" s="227"/>
      <c r="I359" s="205" t="s">
        <v>381</v>
      </c>
      <c r="J359" s="205">
        <v>100000</v>
      </c>
      <c r="K359" s="227"/>
      <c r="L359" s="255" t="s">
        <v>226</v>
      </c>
      <c r="M359" s="205">
        <v>0</v>
      </c>
      <c r="N359" s="227"/>
      <c r="O359" s="207" t="s">
        <v>1207</v>
      </c>
      <c r="P359" s="207">
        <v>100000</v>
      </c>
      <c r="Q359" s="227"/>
      <c r="R359" s="207" t="s">
        <v>1355</v>
      </c>
      <c r="S359" s="207">
        <v>0</v>
      </c>
      <c r="T359" s="205">
        <f t="shared" si="5"/>
        <v>300000</v>
      </c>
      <c r="U359" s="208"/>
    </row>
    <row r="360" spans="2:21" x14ac:dyDescent="0.3">
      <c r="B360" s="227"/>
      <c r="C360" s="227"/>
      <c r="D360" s="227"/>
      <c r="E360" s="227"/>
      <c r="F360" s="204" t="s">
        <v>1187</v>
      </c>
      <c r="G360" s="205">
        <v>100000</v>
      </c>
      <c r="H360" s="227"/>
      <c r="I360" s="207" t="s">
        <v>1311</v>
      </c>
      <c r="J360" s="205">
        <v>100000</v>
      </c>
      <c r="K360" s="227"/>
      <c r="L360" s="255" t="s">
        <v>226</v>
      </c>
      <c r="M360" s="205">
        <v>0</v>
      </c>
      <c r="N360" s="227"/>
      <c r="O360" s="207" t="s">
        <v>1207</v>
      </c>
      <c r="P360" s="207">
        <v>100000</v>
      </c>
      <c r="Q360" s="227"/>
      <c r="R360" s="207" t="s">
        <v>1355</v>
      </c>
      <c r="S360" s="207">
        <v>0</v>
      </c>
      <c r="T360" s="205">
        <f t="shared" si="5"/>
        <v>300000</v>
      </c>
      <c r="U360" s="208"/>
    </row>
    <row r="361" spans="2:21" x14ac:dyDescent="0.3">
      <c r="B361" s="227"/>
      <c r="C361" s="227"/>
      <c r="D361" s="227"/>
      <c r="E361" s="227"/>
      <c r="F361" s="204" t="s">
        <v>1187</v>
      </c>
      <c r="G361" s="205">
        <v>100000</v>
      </c>
      <c r="H361" s="227"/>
      <c r="I361" s="205" t="s">
        <v>159</v>
      </c>
      <c r="J361" s="205">
        <v>100000</v>
      </c>
      <c r="K361" s="227"/>
      <c r="L361" s="255" t="s">
        <v>226</v>
      </c>
      <c r="M361" s="205">
        <v>0</v>
      </c>
      <c r="N361" s="227"/>
      <c r="O361" s="207" t="s">
        <v>1242</v>
      </c>
      <c r="P361" s="207">
        <v>30000</v>
      </c>
      <c r="Q361" s="227"/>
      <c r="R361" s="207" t="s">
        <v>1355</v>
      </c>
      <c r="S361" s="207">
        <v>0</v>
      </c>
      <c r="T361" s="205">
        <f t="shared" si="5"/>
        <v>230000</v>
      </c>
      <c r="U361" s="208"/>
    </row>
    <row r="362" spans="2:21" x14ac:dyDescent="0.3">
      <c r="B362" s="227"/>
      <c r="C362" s="227"/>
      <c r="D362" s="227"/>
      <c r="E362" s="227"/>
      <c r="F362" s="204" t="s">
        <v>1187</v>
      </c>
      <c r="G362" s="205">
        <v>100000</v>
      </c>
      <c r="H362" s="227"/>
      <c r="I362" s="205" t="s">
        <v>381</v>
      </c>
      <c r="J362" s="205">
        <v>100000</v>
      </c>
      <c r="K362" s="227"/>
      <c r="L362" s="255" t="s">
        <v>226</v>
      </c>
      <c r="M362" s="205">
        <v>0</v>
      </c>
      <c r="N362" s="227"/>
      <c r="O362" s="207" t="s">
        <v>1242</v>
      </c>
      <c r="P362" s="207">
        <v>30000</v>
      </c>
      <c r="Q362" s="227"/>
      <c r="R362" s="207" t="s">
        <v>1355</v>
      </c>
      <c r="S362" s="207">
        <v>0</v>
      </c>
      <c r="T362" s="205">
        <f t="shared" si="5"/>
        <v>230000</v>
      </c>
      <c r="U362" s="208"/>
    </row>
    <row r="363" spans="2:21" x14ac:dyDescent="0.3">
      <c r="B363" s="227"/>
      <c r="C363" s="227"/>
      <c r="D363" s="227"/>
      <c r="E363" s="227"/>
      <c r="F363" s="204" t="s">
        <v>1187</v>
      </c>
      <c r="G363" s="205">
        <v>100000</v>
      </c>
      <c r="H363" s="227"/>
      <c r="I363" s="207" t="s">
        <v>1311</v>
      </c>
      <c r="J363" s="205">
        <v>100000</v>
      </c>
      <c r="K363" s="227"/>
      <c r="L363" s="255" t="s">
        <v>226</v>
      </c>
      <c r="M363" s="205">
        <v>0</v>
      </c>
      <c r="N363" s="227"/>
      <c r="O363" s="207" t="s">
        <v>1242</v>
      </c>
      <c r="P363" s="207">
        <v>30000</v>
      </c>
      <c r="Q363" s="227"/>
      <c r="R363" s="207" t="s">
        <v>1355</v>
      </c>
      <c r="S363" s="207">
        <v>0</v>
      </c>
      <c r="T363" s="205">
        <f t="shared" si="5"/>
        <v>230000</v>
      </c>
      <c r="U363" s="208"/>
    </row>
    <row r="364" spans="2:21" x14ac:dyDescent="0.3">
      <c r="B364" s="227"/>
      <c r="C364" s="227"/>
      <c r="D364" s="227"/>
      <c r="E364" s="227"/>
      <c r="F364" s="204" t="s">
        <v>1187</v>
      </c>
      <c r="G364" s="205">
        <v>100000</v>
      </c>
      <c r="H364" s="227"/>
      <c r="I364" s="205" t="s">
        <v>159</v>
      </c>
      <c r="J364" s="205">
        <v>100000</v>
      </c>
      <c r="K364" s="227"/>
      <c r="L364" s="255" t="s">
        <v>226</v>
      </c>
      <c r="M364" s="205">
        <v>0</v>
      </c>
      <c r="N364" s="227"/>
      <c r="O364" s="207" t="s">
        <v>1243</v>
      </c>
      <c r="P364" s="207">
        <v>30000</v>
      </c>
      <c r="Q364" s="227"/>
      <c r="R364" s="207" t="s">
        <v>1355</v>
      </c>
      <c r="S364" s="207">
        <v>0</v>
      </c>
      <c r="T364" s="205">
        <f t="shared" si="5"/>
        <v>230000</v>
      </c>
      <c r="U364" s="208"/>
    </row>
    <row r="365" spans="2:21" x14ac:dyDescent="0.3">
      <c r="B365" s="227"/>
      <c r="C365" s="227"/>
      <c r="D365" s="227"/>
      <c r="E365" s="227"/>
      <c r="F365" s="204" t="s">
        <v>1187</v>
      </c>
      <c r="G365" s="205">
        <v>100000</v>
      </c>
      <c r="H365" s="227"/>
      <c r="I365" s="205" t="s">
        <v>381</v>
      </c>
      <c r="J365" s="205">
        <v>100000</v>
      </c>
      <c r="K365" s="227"/>
      <c r="L365" s="255" t="s">
        <v>226</v>
      </c>
      <c r="M365" s="205">
        <v>0</v>
      </c>
      <c r="N365" s="227"/>
      <c r="O365" s="207" t="s">
        <v>1243</v>
      </c>
      <c r="P365" s="207">
        <v>30000</v>
      </c>
      <c r="Q365" s="227"/>
      <c r="R365" s="207" t="s">
        <v>1355</v>
      </c>
      <c r="S365" s="207">
        <v>0</v>
      </c>
      <c r="T365" s="205">
        <f t="shared" si="5"/>
        <v>230000</v>
      </c>
      <c r="U365" s="208"/>
    </row>
    <row r="366" spans="2:21" x14ac:dyDescent="0.3">
      <c r="B366" s="227"/>
      <c r="C366" s="227"/>
      <c r="D366" s="227"/>
      <c r="E366" s="227"/>
      <c r="F366" s="204" t="s">
        <v>1187</v>
      </c>
      <c r="G366" s="205">
        <v>100000</v>
      </c>
      <c r="H366" s="227"/>
      <c r="I366" s="207" t="s">
        <v>1311</v>
      </c>
      <c r="J366" s="205">
        <v>100000</v>
      </c>
      <c r="K366" s="227"/>
      <c r="L366" s="255" t="s">
        <v>226</v>
      </c>
      <c r="M366" s="205">
        <v>0</v>
      </c>
      <c r="N366" s="227"/>
      <c r="O366" s="207" t="s">
        <v>1243</v>
      </c>
      <c r="P366" s="207">
        <v>30000</v>
      </c>
      <c r="Q366" s="227"/>
      <c r="R366" s="207" t="s">
        <v>1355</v>
      </c>
      <c r="S366" s="207">
        <v>0</v>
      </c>
      <c r="T366" s="205">
        <f t="shared" si="5"/>
        <v>230000</v>
      </c>
      <c r="U366" s="208"/>
    </row>
    <row r="367" spans="2:21" x14ac:dyDescent="0.3">
      <c r="B367" s="212"/>
      <c r="C367" s="213"/>
      <c r="D367" s="213"/>
      <c r="E367" s="230"/>
      <c r="F367" s="285" t="s">
        <v>1266</v>
      </c>
      <c r="G367" s="214">
        <v>100000</v>
      </c>
      <c r="H367" s="230"/>
      <c r="I367" s="216" t="s">
        <v>381</v>
      </c>
      <c r="J367" s="215">
        <v>50000</v>
      </c>
      <c r="K367" s="230"/>
      <c r="L367" s="253" t="s">
        <v>226</v>
      </c>
      <c r="M367" s="214">
        <v>0</v>
      </c>
      <c r="N367" s="230"/>
      <c r="O367" s="252" t="s">
        <v>1207</v>
      </c>
      <c r="P367" s="261">
        <v>100000</v>
      </c>
      <c r="Q367" s="230"/>
      <c r="R367" s="252" t="s">
        <v>1355</v>
      </c>
      <c r="S367" s="261">
        <v>0</v>
      </c>
      <c r="T367" s="249">
        <f t="shared" si="5"/>
        <v>250000</v>
      </c>
      <c r="U367" s="217"/>
    </row>
    <row r="368" spans="2:21" x14ac:dyDescent="0.3">
      <c r="B368" s="212"/>
      <c r="C368" s="213"/>
      <c r="D368" s="213"/>
      <c r="E368" s="230"/>
      <c r="F368" s="286" t="s">
        <v>1266</v>
      </c>
      <c r="G368" s="258">
        <v>100000</v>
      </c>
      <c r="H368" s="230"/>
      <c r="I368" s="287" t="s">
        <v>1311</v>
      </c>
      <c r="J368" s="288">
        <v>50000</v>
      </c>
      <c r="K368" s="230"/>
      <c r="L368" s="289" t="s">
        <v>226</v>
      </c>
      <c r="M368" s="258">
        <v>0</v>
      </c>
      <c r="N368" s="230"/>
      <c r="O368" s="287" t="s">
        <v>1207</v>
      </c>
      <c r="P368" s="290">
        <v>100000</v>
      </c>
      <c r="Q368" s="230"/>
      <c r="R368" s="287" t="s">
        <v>1355</v>
      </c>
      <c r="S368" s="290">
        <v>0</v>
      </c>
      <c r="T368" s="291">
        <f t="shared" si="5"/>
        <v>250000</v>
      </c>
      <c r="U368" s="217"/>
    </row>
    <row r="369" spans="2:21" x14ac:dyDescent="0.3">
      <c r="B369" s="212"/>
      <c r="C369" s="213"/>
      <c r="D369" s="213"/>
      <c r="E369" s="230"/>
      <c r="F369" s="285" t="s">
        <v>1266</v>
      </c>
      <c r="G369" s="214">
        <v>100000</v>
      </c>
      <c r="H369" s="230"/>
      <c r="I369" s="216" t="s">
        <v>381</v>
      </c>
      <c r="J369" s="215">
        <v>50000</v>
      </c>
      <c r="K369" s="230"/>
      <c r="L369" s="253" t="s">
        <v>226</v>
      </c>
      <c r="M369" s="214">
        <v>0</v>
      </c>
      <c r="N369" s="230"/>
      <c r="O369" s="252" t="s">
        <v>1242</v>
      </c>
      <c r="P369" s="261">
        <v>30000</v>
      </c>
      <c r="Q369" s="230"/>
      <c r="R369" s="252" t="s">
        <v>1355</v>
      </c>
      <c r="S369" s="261">
        <v>0</v>
      </c>
      <c r="T369" s="249">
        <f t="shared" si="5"/>
        <v>180000</v>
      </c>
      <c r="U369" s="217"/>
    </row>
    <row r="370" spans="2:21" x14ac:dyDescent="0.3">
      <c r="B370" s="212"/>
      <c r="C370" s="213"/>
      <c r="D370" s="213"/>
      <c r="E370" s="230"/>
      <c r="F370" s="285" t="s">
        <v>1266</v>
      </c>
      <c r="G370" s="214">
        <v>100000</v>
      </c>
      <c r="H370" s="230"/>
      <c r="I370" s="252" t="s">
        <v>1311</v>
      </c>
      <c r="J370" s="215">
        <v>50000</v>
      </c>
      <c r="K370" s="230"/>
      <c r="L370" s="253" t="s">
        <v>226</v>
      </c>
      <c r="M370" s="214">
        <v>0</v>
      </c>
      <c r="N370" s="230"/>
      <c r="O370" s="252" t="s">
        <v>1242</v>
      </c>
      <c r="P370" s="261">
        <v>30000</v>
      </c>
      <c r="Q370" s="230"/>
      <c r="R370" s="252" t="s">
        <v>1355</v>
      </c>
      <c r="S370" s="261">
        <v>0</v>
      </c>
      <c r="T370" s="249">
        <f t="shared" si="5"/>
        <v>180000</v>
      </c>
      <c r="U370" s="217"/>
    </row>
    <row r="371" spans="2:21" x14ac:dyDescent="0.3">
      <c r="B371" s="212"/>
      <c r="C371" s="213"/>
      <c r="D371" s="213"/>
      <c r="E371" s="230"/>
      <c r="F371" s="285" t="s">
        <v>1266</v>
      </c>
      <c r="G371" s="214">
        <v>100000</v>
      </c>
      <c r="H371" s="230"/>
      <c r="I371" s="216" t="s">
        <v>381</v>
      </c>
      <c r="J371" s="215">
        <v>50000</v>
      </c>
      <c r="K371" s="230"/>
      <c r="L371" s="253" t="s">
        <v>226</v>
      </c>
      <c r="M371" s="214">
        <v>0</v>
      </c>
      <c r="N371" s="230"/>
      <c r="O371" s="252" t="s">
        <v>1243</v>
      </c>
      <c r="P371" s="261">
        <v>30000</v>
      </c>
      <c r="Q371" s="230"/>
      <c r="R371" s="252" t="s">
        <v>1355</v>
      </c>
      <c r="S371" s="261">
        <v>0</v>
      </c>
      <c r="T371" s="249">
        <f t="shared" si="5"/>
        <v>180000</v>
      </c>
      <c r="U371" s="217"/>
    </row>
    <row r="372" spans="2:21" x14ac:dyDescent="0.3">
      <c r="B372" s="212"/>
      <c r="C372" s="213"/>
      <c r="D372" s="213"/>
      <c r="E372" s="230"/>
      <c r="F372" s="285" t="s">
        <v>1266</v>
      </c>
      <c r="G372" s="214">
        <v>100000</v>
      </c>
      <c r="H372" s="230"/>
      <c r="I372" s="252" t="s">
        <v>1311</v>
      </c>
      <c r="J372" s="215">
        <v>50000</v>
      </c>
      <c r="K372" s="230"/>
      <c r="L372" s="253" t="s">
        <v>226</v>
      </c>
      <c r="M372" s="214">
        <v>0</v>
      </c>
      <c r="N372" s="230"/>
      <c r="O372" s="252" t="s">
        <v>1243</v>
      </c>
      <c r="P372" s="261">
        <v>30000</v>
      </c>
      <c r="Q372" s="230"/>
      <c r="R372" s="252" t="s">
        <v>1355</v>
      </c>
      <c r="S372" s="261">
        <v>0</v>
      </c>
      <c r="T372" s="249">
        <f t="shared" si="5"/>
        <v>180000</v>
      </c>
      <c r="U372" s="217"/>
    </row>
    <row r="373" spans="2:21" x14ac:dyDescent="0.3">
      <c r="B373" s="211"/>
      <c r="C373" s="282"/>
      <c r="D373" s="282"/>
      <c r="E373" s="226" t="s">
        <v>160</v>
      </c>
      <c r="F373" s="250" t="s">
        <v>1269</v>
      </c>
      <c r="G373" s="203">
        <v>100000</v>
      </c>
      <c r="H373" s="226" t="s">
        <v>161</v>
      </c>
      <c r="I373" s="251" t="s">
        <v>1313</v>
      </c>
      <c r="J373" s="203">
        <v>100000</v>
      </c>
      <c r="K373" s="283" t="s">
        <v>1369</v>
      </c>
      <c r="L373" s="254" t="s">
        <v>1207</v>
      </c>
      <c r="M373" s="203">
        <v>100000</v>
      </c>
      <c r="N373" s="226" t="s">
        <v>1208</v>
      </c>
      <c r="O373" s="251" t="s">
        <v>1242</v>
      </c>
      <c r="P373" s="251">
        <v>30000</v>
      </c>
      <c r="Q373" s="226" t="s">
        <v>1366</v>
      </c>
      <c r="R373" s="251" t="s">
        <v>1355</v>
      </c>
      <c r="S373" s="251">
        <v>0</v>
      </c>
      <c r="T373" s="203">
        <f t="shared" si="5"/>
        <v>330000</v>
      </c>
      <c r="U373" s="295"/>
    </row>
    <row r="374" spans="2:21" x14ac:dyDescent="0.3">
      <c r="B374" s="227"/>
      <c r="C374" s="227"/>
      <c r="D374" s="227"/>
      <c r="E374" s="227"/>
      <c r="F374" s="204" t="s">
        <v>109</v>
      </c>
      <c r="G374" s="205">
        <v>100000</v>
      </c>
      <c r="H374" s="227"/>
      <c r="I374" s="205" t="s">
        <v>159</v>
      </c>
      <c r="J374" s="205">
        <v>100000</v>
      </c>
      <c r="K374" s="227"/>
      <c r="L374" s="255" t="s">
        <v>1207</v>
      </c>
      <c r="M374" s="214">
        <v>100000</v>
      </c>
      <c r="N374" s="227"/>
      <c r="O374" s="207" t="s">
        <v>1242</v>
      </c>
      <c r="P374" s="207">
        <v>30000</v>
      </c>
      <c r="Q374" s="227"/>
      <c r="R374" s="207" t="s">
        <v>1355</v>
      </c>
      <c r="S374" s="262">
        <v>0</v>
      </c>
      <c r="T374" s="205">
        <f t="shared" si="5"/>
        <v>330000</v>
      </c>
      <c r="U374" s="295"/>
    </row>
    <row r="375" spans="2:21" x14ac:dyDescent="0.3">
      <c r="B375" s="227"/>
      <c r="C375" s="227"/>
      <c r="D375" s="227"/>
      <c r="E375" s="227"/>
      <c r="F375" s="204" t="s">
        <v>1351</v>
      </c>
      <c r="G375" s="205">
        <v>100000</v>
      </c>
      <c r="H375" s="227"/>
      <c r="I375" s="205" t="s">
        <v>159</v>
      </c>
      <c r="J375" s="205">
        <v>100000</v>
      </c>
      <c r="K375" s="227"/>
      <c r="L375" s="255" t="s">
        <v>1207</v>
      </c>
      <c r="M375" s="214">
        <v>100000</v>
      </c>
      <c r="N375" s="227"/>
      <c r="O375" s="207" t="s">
        <v>1242</v>
      </c>
      <c r="P375" s="207">
        <v>30000</v>
      </c>
      <c r="Q375" s="227"/>
      <c r="R375" s="207" t="s">
        <v>1355</v>
      </c>
      <c r="S375" s="262">
        <v>0</v>
      </c>
      <c r="T375" s="205">
        <f t="shared" si="5"/>
        <v>330000</v>
      </c>
      <c r="U375" s="295"/>
    </row>
    <row r="376" spans="2:21" x14ac:dyDescent="0.3">
      <c r="B376" s="227"/>
      <c r="C376" s="227"/>
      <c r="D376" s="227"/>
      <c r="E376" s="227"/>
      <c r="F376" s="204" t="s">
        <v>112</v>
      </c>
      <c r="G376" s="205">
        <v>100000</v>
      </c>
      <c r="H376" s="227"/>
      <c r="I376" s="205" t="s">
        <v>159</v>
      </c>
      <c r="J376" s="205">
        <v>100000</v>
      </c>
      <c r="K376" s="227"/>
      <c r="L376" s="255" t="s">
        <v>1207</v>
      </c>
      <c r="M376" s="214">
        <v>100000</v>
      </c>
      <c r="N376" s="227"/>
      <c r="O376" s="207" t="s">
        <v>1242</v>
      </c>
      <c r="P376" s="207">
        <v>30000</v>
      </c>
      <c r="Q376" s="227"/>
      <c r="R376" s="207" t="s">
        <v>1355</v>
      </c>
      <c r="S376" s="262">
        <v>0</v>
      </c>
      <c r="T376" s="205">
        <f t="shared" si="5"/>
        <v>330000</v>
      </c>
      <c r="U376" s="295"/>
    </row>
    <row r="377" spans="2:21" x14ac:dyDescent="0.3">
      <c r="B377" s="227"/>
      <c r="C377" s="227"/>
      <c r="D377" s="227"/>
      <c r="E377" s="227"/>
      <c r="F377" s="204" t="s">
        <v>113</v>
      </c>
      <c r="G377" s="205">
        <v>100000</v>
      </c>
      <c r="H377" s="227"/>
      <c r="I377" s="205" t="s">
        <v>159</v>
      </c>
      <c r="J377" s="205">
        <v>100000</v>
      </c>
      <c r="K377" s="227"/>
      <c r="L377" s="255" t="s">
        <v>1207</v>
      </c>
      <c r="M377" s="214">
        <v>100000</v>
      </c>
      <c r="N377" s="227"/>
      <c r="O377" s="207" t="s">
        <v>1242</v>
      </c>
      <c r="P377" s="207">
        <v>30000</v>
      </c>
      <c r="Q377" s="227"/>
      <c r="R377" s="207" t="s">
        <v>1355</v>
      </c>
      <c r="S377" s="262">
        <v>0</v>
      </c>
      <c r="T377" s="205">
        <f t="shared" si="5"/>
        <v>330000</v>
      </c>
      <c r="U377" s="295"/>
    </row>
    <row r="378" spans="2:21" x14ac:dyDescent="0.3">
      <c r="B378" s="227"/>
      <c r="C378" s="227"/>
      <c r="D378" s="227"/>
      <c r="E378" s="227"/>
      <c r="F378" s="204" t="s">
        <v>116</v>
      </c>
      <c r="G378" s="205">
        <v>100000</v>
      </c>
      <c r="H378" s="227"/>
      <c r="I378" s="205" t="s">
        <v>159</v>
      </c>
      <c r="J378" s="205">
        <v>100000</v>
      </c>
      <c r="K378" s="227"/>
      <c r="L378" s="255" t="s">
        <v>1207</v>
      </c>
      <c r="M378" s="205">
        <v>100000</v>
      </c>
      <c r="N378" s="227"/>
      <c r="O378" s="207" t="s">
        <v>1242</v>
      </c>
      <c r="P378" s="207">
        <v>30000</v>
      </c>
      <c r="Q378" s="227"/>
      <c r="R378" s="207" t="s">
        <v>1355</v>
      </c>
      <c r="S378" s="207">
        <v>0</v>
      </c>
      <c r="T378" s="205">
        <f t="shared" si="5"/>
        <v>330000</v>
      </c>
      <c r="U378" s="295"/>
    </row>
    <row r="379" spans="2:21" x14ac:dyDescent="0.3">
      <c r="B379" s="212"/>
      <c r="C379" s="213"/>
      <c r="D379" s="213"/>
      <c r="E379" s="230"/>
      <c r="F379" s="214" t="s">
        <v>155</v>
      </c>
      <c r="G379" s="214">
        <v>100000</v>
      </c>
      <c r="H379" s="230"/>
      <c r="I379" s="216" t="s">
        <v>159</v>
      </c>
      <c r="J379" s="215">
        <v>50000</v>
      </c>
      <c r="K379" s="230"/>
      <c r="L379" s="253" t="s">
        <v>1207</v>
      </c>
      <c r="M379" s="214">
        <v>100000</v>
      </c>
      <c r="N379" s="230"/>
      <c r="O379" s="252" t="s">
        <v>1242</v>
      </c>
      <c r="P379" s="261">
        <v>30000</v>
      </c>
      <c r="Q379" s="230"/>
      <c r="R379" s="252" t="s">
        <v>1355</v>
      </c>
      <c r="S379" s="261">
        <v>0</v>
      </c>
      <c r="T379" s="249">
        <f t="shared" si="5"/>
        <v>280000</v>
      </c>
      <c r="U379" s="296"/>
    </row>
    <row r="380" spans="2:21" x14ac:dyDescent="0.3">
      <c r="B380" s="227"/>
      <c r="C380" s="227"/>
      <c r="D380" s="227"/>
      <c r="E380" s="227"/>
      <c r="F380" s="206" t="s">
        <v>1288</v>
      </c>
      <c r="G380" s="205">
        <v>100000</v>
      </c>
      <c r="H380" s="227"/>
      <c r="I380" s="205" t="s">
        <v>159</v>
      </c>
      <c r="J380" s="205">
        <v>100000</v>
      </c>
      <c r="K380" s="227"/>
      <c r="L380" s="255" t="s">
        <v>1207</v>
      </c>
      <c r="M380" s="214">
        <v>100000</v>
      </c>
      <c r="N380" s="227"/>
      <c r="O380" s="207" t="s">
        <v>1242</v>
      </c>
      <c r="P380" s="207">
        <v>30000</v>
      </c>
      <c r="Q380" s="227"/>
      <c r="R380" s="207" t="s">
        <v>1355</v>
      </c>
      <c r="S380" s="262">
        <v>0</v>
      </c>
      <c r="T380" s="205">
        <f t="shared" si="5"/>
        <v>330000</v>
      </c>
      <c r="U380" s="295"/>
    </row>
    <row r="381" spans="2:21" x14ac:dyDescent="0.3">
      <c r="B381" s="227"/>
      <c r="C381" s="227"/>
      <c r="D381" s="227"/>
      <c r="E381" s="227"/>
      <c r="F381" s="206" t="s">
        <v>1260</v>
      </c>
      <c r="G381" s="205">
        <v>100000</v>
      </c>
      <c r="H381" s="227"/>
      <c r="I381" s="205" t="s">
        <v>159</v>
      </c>
      <c r="J381" s="205">
        <v>100000</v>
      </c>
      <c r="K381" s="227"/>
      <c r="L381" s="255" t="s">
        <v>1207</v>
      </c>
      <c r="M381" s="214">
        <v>100000</v>
      </c>
      <c r="N381" s="227"/>
      <c r="O381" s="207" t="s">
        <v>1242</v>
      </c>
      <c r="P381" s="207">
        <v>30000</v>
      </c>
      <c r="Q381" s="227"/>
      <c r="R381" s="207" t="s">
        <v>1355</v>
      </c>
      <c r="S381" s="262">
        <v>0</v>
      </c>
      <c r="T381" s="205">
        <f t="shared" si="5"/>
        <v>330000</v>
      </c>
      <c r="U381" s="295"/>
    </row>
    <row r="382" spans="2:21" x14ac:dyDescent="0.3">
      <c r="B382" s="227"/>
      <c r="C382" s="227"/>
      <c r="D382" s="227"/>
      <c r="E382" s="227"/>
      <c r="F382" s="204" t="s">
        <v>109</v>
      </c>
      <c r="G382" s="205">
        <v>100000</v>
      </c>
      <c r="H382" s="227"/>
      <c r="I382" s="207" t="s">
        <v>1311</v>
      </c>
      <c r="J382" s="205">
        <v>100000</v>
      </c>
      <c r="K382" s="227"/>
      <c r="L382" s="255" t="s">
        <v>1207</v>
      </c>
      <c r="M382" s="214">
        <v>100000</v>
      </c>
      <c r="N382" s="227"/>
      <c r="O382" s="207" t="s">
        <v>1242</v>
      </c>
      <c r="P382" s="207">
        <v>30000</v>
      </c>
      <c r="Q382" s="227"/>
      <c r="R382" s="207" t="s">
        <v>1355</v>
      </c>
      <c r="S382" s="262">
        <v>0</v>
      </c>
      <c r="T382" s="205">
        <f t="shared" si="5"/>
        <v>330000</v>
      </c>
      <c r="U382" s="295"/>
    </row>
    <row r="383" spans="2:21" x14ac:dyDescent="0.3">
      <c r="B383" s="227"/>
      <c r="C383" s="227"/>
      <c r="D383" s="227"/>
      <c r="E383" s="227"/>
      <c r="F383" s="204" t="s">
        <v>1351</v>
      </c>
      <c r="G383" s="205">
        <v>100000</v>
      </c>
      <c r="H383" s="227"/>
      <c r="I383" s="207" t="s">
        <v>1311</v>
      </c>
      <c r="J383" s="205">
        <v>100000</v>
      </c>
      <c r="K383" s="227"/>
      <c r="L383" s="255" t="s">
        <v>1207</v>
      </c>
      <c r="M383" s="214">
        <v>100000</v>
      </c>
      <c r="N383" s="227"/>
      <c r="O383" s="207" t="s">
        <v>1242</v>
      </c>
      <c r="P383" s="207">
        <v>30000</v>
      </c>
      <c r="Q383" s="227"/>
      <c r="R383" s="207" t="s">
        <v>1355</v>
      </c>
      <c r="S383" s="262">
        <v>0</v>
      </c>
      <c r="T383" s="205">
        <f t="shared" si="5"/>
        <v>330000</v>
      </c>
      <c r="U383" s="295"/>
    </row>
    <row r="384" spans="2:21" x14ac:dyDescent="0.3">
      <c r="B384" s="227"/>
      <c r="C384" s="227"/>
      <c r="D384" s="227"/>
      <c r="E384" s="227"/>
      <c r="F384" s="204" t="s">
        <v>112</v>
      </c>
      <c r="G384" s="205">
        <v>100000</v>
      </c>
      <c r="H384" s="227"/>
      <c r="I384" s="207" t="s">
        <v>1311</v>
      </c>
      <c r="J384" s="205">
        <v>100000</v>
      </c>
      <c r="K384" s="227"/>
      <c r="L384" s="255" t="s">
        <v>1207</v>
      </c>
      <c r="M384" s="214">
        <v>100000</v>
      </c>
      <c r="N384" s="227"/>
      <c r="O384" s="207" t="s">
        <v>1242</v>
      </c>
      <c r="P384" s="207">
        <v>30000</v>
      </c>
      <c r="Q384" s="227"/>
      <c r="R384" s="207" t="s">
        <v>1355</v>
      </c>
      <c r="S384" s="262">
        <v>0</v>
      </c>
      <c r="T384" s="205">
        <f t="shared" si="5"/>
        <v>330000</v>
      </c>
      <c r="U384" s="295"/>
    </row>
    <row r="385" spans="2:21" x14ac:dyDescent="0.3">
      <c r="B385" s="227"/>
      <c r="C385" s="227"/>
      <c r="D385" s="227"/>
      <c r="E385" s="227"/>
      <c r="F385" s="204" t="s">
        <v>113</v>
      </c>
      <c r="G385" s="205">
        <v>100000</v>
      </c>
      <c r="H385" s="227"/>
      <c r="I385" s="207" t="s">
        <v>1311</v>
      </c>
      <c r="J385" s="205">
        <v>100000</v>
      </c>
      <c r="K385" s="227"/>
      <c r="L385" s="255" t="s">
        <v>1207</v>
      </c>
      <c r="M385" s="214">
        <v>100000</v>
      </c>
      <c r="N385" s="227"/>
      <c r="O385" s="207" t="s">
        <v>1242</v>
      </c>
      <c r="P385" s="207">
        <v>30000</v>
      </c>
      <c r="Q385" s="227"/>
      <c r="R385" s="207" t="s">
        <v>1355</v>
      </c>
      <c r="S385" s="262">
        <v>0</v>
      </c>
      <c r="T385" s="205">
        <f t="shared" si="5"/>
        <v>330000</v>
      </c>
      <c r="U385" s="295"/>
    </row>
    <row r="386" spans="2:21" x14ac:dyDescent="0.3">
      <c r="B386" s="227"/>
      <c r="C386" s="227"/>
      <c r="D386" s="227"/>
      <c r="E386" s="227"/>
      <c r="F386" s="204" t="s">
        <v>116</v>
      </c>
      <c r="G386" s="205">
        <v>100000</v>
      </c>
      <c r="H386" s="227"/>
      <c r="I386" s="207" t="s">
        <v>1311</v>
      </c>
      <c r="J386" s="205">
        <v>100000</v>
      </c>
      <c r="K386" s="227"/>
      <c r="L386" s="255" t="s">
        <v>1207</v>
      </c>
      <c r="M386" s="205">
        <v>100000</v>
      </c>
      <c r="N386" s="227"/>
      <c r="O386" s="207" t="s">
        <v>1242</v>
      </c>
      <c r="P386" s="207">
        <v>30000</v>
      </c>
      <c r="Q386" s="227"/>
      <c r="R386" s="207" t="s">
        <v>1355</v>
      </c>
      <c r="S386" s="207">
        <v>0</v>
      </c>
      <c r="T386" s="205">
        <f t="shared" si="5"/>
        <v>330000</v>
      </c>
      <c r="U386" s="295"/>
    </row>
    <row r="387" spans="2:21" x14ac:dyDescent="0.3">
      <c r="B387" s="212"/>
      <c r="C387" s="213"/>
      <c r="D387" s="213"/>
      <c r="E387" s="230"/>
      <c r="F387" s="214" t="s">
        <v>155</v>
      </c>
      <c r="G387" s="214">
        <v>100000</v>
      </c>
      <c r="H387" s="230"/>
      <c r="I387" s="252" t="s">
        <v>1311</v>
      </c>
      <c r="J387" s="215">
        <v>50000</v>
      </c>
      <c r="K387" s="230"/>
      <c r="L387" s="253" t="s">
        <v>1207</v>
      </c>
      <c r="M387" s="214">
        <v>100000</v>
      </c>
      <c r="N387" s="230"/>
      <c r="O387" s="252" t="s">
        <v>1242</v>
      </c>
      <c r="P387" s="261">
        <v>30000</v>
      </c>
      <c r="Q387" s="230"/>
      <c r="R387" s="252" t="s">
        <v>1355</v>
      </c>
      <c r="S387" s="261">
        <v>0</v>
      </c>
      <c r="T387" s="249">
        <f t="shared" si="5"/>
        <v>280000</v>
      </c>
      <c r="U387" s="296"/>
    </row>
    <row r="388" spans="2:21" x14ac:dyDescent="0.3">
      <c r="B388" s="227"/>
      <c r="C388" s="227"/>
      <c r="D388" s="227"/>
      <c r="E388" s="227"/>
      <c r="F388" s="206" t="s">
        <v>1288</v>
      </c>
      <c r="G388" s="205">
        <v>100000</v>
      </c>
      <c r="H388" s="227"/>
      <c r="I388" s="207" t="s">
        <v>1311</v>
      </c>
      <c r="J388" s="205">
        <v>100000</v>
      </c>
      <c r="K388" s="227"/>
      <c r="L388" s="255" t="s">
        <v>1207</v>
      </c>
      <c r="M388" s="214">
        <v>100000</v>
      </c>
      <c r="N388" s="227"/>
      <c r="O388" s="207" t="s">
        <v>1242</v>
      </c>
      <c r="P388" s="207">
        <v>30000</v>
      </c>
      <c r="Q388" s="227"/>
      <c r="R388" s="207" t="s">
        <v>1355</v>
      </c>
      <c r="S388" s="262">
        <v>0</v>
      </c>
      <c r="T388" s="205">
        <f t="shared" si="5"/>
        <v>330000</v>
      </c>
      <c r="U388" s="295"/>
    </row>
    <row r="389" spans="2:21" x14ac:dyDescent="0.3">
      <c r="B389" s="227"/>
      <c r="C389" s="227"/>
      <c r="D389" s="227"/>
      <c r="E389" s="227"/>
      <c r="F389" s="206" t="s">
        <v>1260</v>
      </c>
      <c r="G389" s="205">
        <v>100000</v>
      </c>
      <c r="H389" s="227"/>
      <c r="I389" s="207" t="s">
        <v>1311</v>
      </c>
      <c r="J389" s="205">
        <v>100000</v>
      </c>
      <c r="K389" s="227"/>
      <c r="L389" s="255" t="s">
        <v>1207</v>
      </c>
      <c r="M389" s="214">
        <v>100000</v>
      </c>
      <c r="N389" s="227"/>
      <c r="O389" s="207" t="s">
        <v>1242</v>
      </c>
      <c r="P389" s="207">
        <v>30000</v>
      </c>
      <c r="Q389" s="227"/>
      <c r="R389" s="207" t="s">
        <v>1355</v>
      </c>
      <c r="S389" s="262">
        <v>0</v>
      </c>
      <c r="T389" s="205">
        <f t="shared" si="5"/>
        <v>330000</v>
      </c>
      <c r="U389" s="295"/>
    </row>
    <row r="390" spans="2:21" x14ac:dyDescent="0.3">
      <c r="B390" s="227"/>
      <c r="C390" s="227"/>
      <c r="D390" s="227"/>
      <c r="E390" s="227"/>
      <c r="F390" s="206" t="s">
        <v>1269</v>
      </c>
      <c r="G390" s="205">
        <v>100000</v>
      </c>
      <c r="H390" s="227"/>
      <c r="I390" s="207" t="s">
        <v>1313</v>
      </c>
      <c r="J390" s="205">
        <v>100000</v>
      </c>
      <c r="K390" s="227"/>
      <c r="L390" s="255" t="s">
        <v>1207</v>
      </c>
      <c r="M390" s="205">
        <v>100000</v>
      </c>
      <c r="N390" s="227"/>
      <c r="O390" s="207" t="s">
        <v>1243</v>
      </c>
      <c r="P390" s="207">
        <v>30000</v>
      </c>
      <c r="Q390" s="227"/>
      <c r="R390" s="207" t="s">
        <v>1355</v>
      </c>
      <c r="S390" s="207">
        <v>0</v>
      </c>
      <c r="T390" s="205">
        <f t="shared" si="5"/>
        <v>330000</v>
      </c>
      <c r="U390" s="295"/>
    </row>
    <row r="391" spans="2:21" x14ac:dyDescent="0.3">
      <c r="B391" s="227"/>
      <c r="C391" s="227"/>
      <c r="D391" s="227"/>
      <c r="E391" s="227"/>
      <c r="F391" s="204" t="s">
        <v>109</v>
      </c>
      <c r="G391" s="205">
        <v>100000</v>
      </c>
      <c r="H391" s="227"/>
      <c r="I391" s="205" t="s">
        <v>159</v>
      </c>
      <c r="J391" s="205">
        <v>100000</v>
      </c>
      <c r="K391" s="227"/>
      <c r="L391" s="255" t="s">
        <v>1207</v>
      </c>
      <c r="M391" s="214">
        <v>100000</v>
      </c>
      <c r="N391" s="227"/>
      <c r="O391" s="207" t="s">
        <v>1243</v>
      </c>
      <c r="P391" s="207">
        <v>30000</v>
      </c>
      <c r="Q391" s="227"/>
      <c r="R391" s="207" t="s">
        <v>1355</v>
      </c>
      <c r="S391" s="262">
        <v>0</v>
      </c>
      <c r="T391" s="205">
        <f t="shared" si="5"/>
        <v>330000</v>
      </c>
      <c r="U391" s="295"/>
    </row>
    <row r="392" spans="2:21" x14ac:dyDescent="0.3">
      <c r="B392" s="227"/>
      <c r="C392" s="227"/>
      <c r="D392" s="227"/>
      <c r="E392" s="227"/>
      <c r="F392" s="204" t="s">
        <v>1351</v>
      </c>
      <c r="G392" s="205">
        <v>100000</v>
      </c>
      <c r="H392" s="227"/>
      <c r="I392" s="205" t="s">
        <v>159</v>
      </c>
      <c r="J392" s="205">
        <v>100000</v>
      </c>
      <c r="K392" s="227"/>
      <c r="L392" s="255" t="s">
        <v>1207</v>
      </c>
      <c r="M392" s="214">
        <v>100000</v>
      </c>
      <c r="N392" s="227"/>
      <c r="O392" s="207" t="s">
        <v>1243</v>
      </c>
      <c r="P392" s="207">
        <v>30000</v>
      </c>
      <c r="Q392" s="227"/>
      <c r="R392" s="207" t="s">
        <v>1355</v>
      </c>
      <c r="S392" s="262">
        <v>0</v>
      </c>
      <c r="T392" s="205">
        <f t="shared" ref="T392:T455" si="6">SUM(J392,G392,M392,P392,S392)</f>
        <v>330000</v>
      </c>
      <c r="U392" s="295"/>
    </row>
    <row r="393" spans="2:21" x14ac:dyDescent="0.3">
      <c r="B393" s="227"/>
      <c r="C393" s="227"/>
      <c r="D393" s="227"/>
      <c r="E393" s="227"/>
      <c r="F393" s="204" t="s">
        <v>112</v>
      </c>
      <c r="G393" s="205">
        <v>100000</v>
      </c>
      <c r="H393" s="227"/>
      <c r="I393" s="205" t="s">
        <v>159</v>
      </c>
      <c r="J393" s="205">
        <v>100000</v>
      </c>
      <c r="K393" s="227"/>
      <c r="L393" s="255" t="s">
        <v>1207</v>
      </c>
      <c r="M393" s="214">
        <v>100000</v>
      </c>
      <c r="N393" s="227"/>
      <c r="O393" s="207" t="s">
        <v>1243</v>
      </c>
      <c r="P393" s="207">
        <v>30000</v>
      </c>
      <c r="Q393" s="227"/>
      <c r="R393" s="207" t="s">
        <v>1355</v>
      </c>
      <c r="S393" s="262">
        <v>0</v>
      </c>
      <c r="T393" s="205">
        <f t="shared" si="6"/>
        <v>330000</v>
      </c>
      <c r="U393" s="295"/>
    </row>
    <row r="394" spans="2:21" x14ac:dyDescent="0.3">
      <c r="B394" s="227"/>
      <c r="C394" s="227"/>
      <c r="D394" s="227"/>
      <c r="E394" s="227"/>
      <c r="F394" s="204" t="s">
        <v>113</v>
      </c>
      <c r="G394" s="205">
        <v>100000</v>
      </c>
      <c r="H394" s="227"/>
      <c r="I394" s="205" t="s">
        <v>159</v>
      </c>
      <c r="J394" s="205">
        <v>100000</v>
      </c>
      <c r="K394" s="227"/>
      <c r="L394" s="255" t="s">
        <v>1207</v>
      </c>
      <c r="M394" s="214">
        <v>100000</v>
      </c>
      <c r="N394" s="227"/>
      <c r="O394" s="207" t="s">
        <v>1243</v>
      </c>
      <c r="P394" s="207">
        <v>30000</v>
      </c>
      <c r="Q394" s="227"/>
      <c r="R394" s="207" t="s">
        <v>1355</v>
      </c>
      <c r="S394" s="262">
        <v>0</v>
      </c>
      <c r="T394" s="205">
        <f t="shared" si="6"/>
        <v>330000</v>
      </c>
      <c r="U394" s="295"/>
    </row>
    <row r="395" spans="2:21" x14ac:dyDescent="0.3">
      <c r="B395" s="227"/>
      <c r="C395" s="227"/>
      <c r="D395" s="227"/>
      <c r="E395" s="227"/>
      <c r="F395" s="204" t="s">
        <v>116</v>
      </c>
      <c r="G395" s="205">
        <v>100000</v>
      </c>
      <c r="H395" s="227"/>
      <c r="I395" s="205" t="s">
        <v>159</v>
      </c>
      <c r="J395" s="205">
        <v>100000</v>
      </c>
      <c r="K395" s="227"/>
      <c r="L395" s="255" t="s">
        <v>1207</v>
      </c>
      <c r="M395" s="205">
        <v>100000</v>
      </c>
      <c r="N395" s="227"/>
      <c r="O395" s="207" t="s">
        <v>1243</v>
      </c>
      <c r="P395" s="207">
        <v>30000</v>
      </c>
      <c r="Q395" s="227"/>
      <c r="R395" s="207" t="s">
        <v>1355</v>
      </c>
      <c r="S395" s="207">
        <v>0</v>
      </c>
      <c r="T395" s="205">
        <f t="shared" si="6"/>
        <v>330000</v>
      </c>
      <c r="U395" s="295"/>
    </row>
    <row r="396" spans="2:21" x14ac:dyDescent="0.3">
      <c r="B396" s="212"/>
      <c r="C396" s="213"/>
      <c r="D396" s="213"/>
      <c r="E396" s="230"/>
      <c r="F396" s="214" t="s">
        <v>155</v>
      </c>
      <c r="G396" s="214">
        <v>100000</v>
      </c>
      <c r="H396" s="230"/>
      <c r="I396" s="216" t="s">
        <v>159</v>
      </c>
      <c r="J396" s="215">
        <v>50000</v>
      </c>
      <c r="K396" s="230"/>
      <c r="L396" s="253" t="s">
        <v>1207</v>
      </c>
      <c r="M396" s="214">
        <v>100000</v>
      </c>
      <c r="N396" s="230"/>
      <c r="O396" s="252" t="s">
        <v>1243</v>
      </c>
      <c r="P396" s="261">
        <v>30000</v>
      </c>
      <c r="Q396" s="230"/>
      <c r="R396" s="252" t="s">
        <v>1355</v>
      </c>
      <c r="S396" s="261">
        <v>0</v>
      </c>
      <c r="T396" s="249">
        <f t="shared" si="6"/>
        <v>280000</v>
      </c>
      <c r="U396" s="296"/>
    </row>
    <row r="397" spans="2:21" x14ac:dyDescent="0.3">
      <c r="B397" s="227"/>
      <c r="C397" s="227"/>
      <c r="D397" s="227"/>
      <c r="E397" s="227"/>
      <c r="F397" s="206" t="s">
        <v>1288</v>
      </c>
      <c r="G397" s="205">
        <v>100000</v>
      </c>
      <c r="H397" s="227"/>
      <c r="I397" s="205" t="s">
        <v>159</v>
      </c>
      <c r="J397" s="205">
        <v>100000</v>
      </c>
      <c r="K397" s="227"/>
      <c r="L397" s="255" t="s">
        <v>1207</v>
      </c>
      <c r="M397" s="214">
        <v>100000</v>
      </c>
      <c r="N397" s="227"/>
      <c r="O397" s="207" t="s">
        <v>1243</v>
      </c>
      <c r="P397" s="207">
        <v>30000</v>
      </c>
      <c r="Q397" s="227"/>
      <c r="R397" s="207" t="s">
        <v>1355</v>
      </c>
      <c r="S397" s="262">
        <v>0</v>
      </c>
      <c r="T397" s="205">
        <f t="shared" si="6"/>
        <v>330000</v>
      </c>
      <c r="U397" s="295"/>
    </row>
    <row r="398" spans="2:21" x14ac:dyDescent="0.3">
      <c r="B398" s="227"/>
      <c r="C398" s="227"/>
      <c r="D398" s="227"/>
      <c r="E398" s="227"/>
      <c r="F398" s="206" t="s">
        <v>1260</v>
      </c>
      <c r="G398" s="205">
        <v>100000</v>
      </c>
      <c r="H398" s="227"/>
      <c r="I398" s="205" t="s">
        <v>159</v>
      </c>
      <c r="J398" s="205">
        <v>100000</v>
      </c>
      <c r="K398" s="227"/>
      <c r="L398" s="255" t="s">
        <v>1207</v>
      </c>
      <c r="M398" s="214">
        <v>100000</v>
      </c>
      <c r="N398" s="227"/>
      <c r="O398" s="207" t="s">
        <v>1243</v>
      </c>
      <c r="P398" s="207">
        <v>30000</v>
      </c>
      <c r="Q398" s="227"/>
      <c r="R398" s="207" t="s">
        <v>1355</v>
      </c>
      <c r="S398" s="262">
        <v>0</v>
      </c>
      <c r="T398" s="205">
        <f t="shared" si="6"/>
        <v>330000</v>
      </c>
      <c r="U398" s="295"/>
    </row>
    <row r="399" spans="2:21" x14ac:dyDescent="0.3">
      <c r="B399" s="227"/>
      <c r="C399" s="227"/>
      <c r="D399" s="227"/>
      <c r="E399" s="227"/>
      <c r="F399" s="204" t="s">
        <v>109</v>
      </c>
      <c r="G399" s="205">
        <v>100000</v>
      </c>
      <c r="H399" s="227"/>
      <c r="I399" s="207" t="s">
        <v>1311</v>
      </c>
      <c r="J399" s="205">
        <v>100000</v>
      </c>
      <c r="K399" s="227"/>
      <c r="L399" s="255" t="s">
        <v>1207</v>
      </c>
      <c r="M399" s="214">
        <v>100000</v>
      </c>
      <c r="N399" s="227"/>
      <c r="O399" s="207" t="s">
        <v>1243</v>
      </c>
      <c r="P399" s="207">
        <v>30000</v>
      </c>
      <c r="Q399" s="227"/>
      <c r="R399" s="207" t="s">
        <v>1355</v>
      </c>
      <c r="S399" s="262">
        <v>0</v>
      </c>
      <c r="T399" s="205">
        <f t="shared" si="6"/>
        <v>330000</v>
      </c>
      <c r="U399" s="295"/>
    </row>
    <row r="400" spans="2:21" x14ac:dyDescent="0.3">
      <c r="B400" s="227"/>
      <c r="C400" s="227"/>
      <c r="D400" s="227"/>
      <c r="E400" s="227"/>
      <c r="F400" s="204" t="s">
        <v>1351</v>
      </c>
      <c r="G400" s="205">
        <v>100000</v>
      </c>
      <c r="H400" s="227"/>
      <c r="I400" s="207" t="s">
        <v>1311</v>
      </c>
      <c r="J400" s="205">
        <v>100000</v>
      </c>
      <c r="K400" s="227"/>
      <c r="L400" s="255" t="s">
        <v>1207</v>
      </c>
      <c r="M400" s="214">
        <v>100000</v>
      </c>
      <c r="N400" s="227"/>
      <c r="O400" s="207" t="s">
        <v>1243</v>
      </c>
      <c r="P400" s="207">
        <v>30000</v>
      </c>
      <c r="Q400" s="227"/>
      <c r="R400" s="207" t="s">
        <v>1355</v>
      </c>
      <c r="S400" s="262">
        <v>0</v>
      </c>
      <c r="T400" s="205">
        <f t="shared" si="6"/>
        <v>330000</v>
      </c>
      <c r="U400" s="295"/>
    </row>
    <row r="401" spans="2:21" x14ac:dyDescent="0.3">
      <c r="B401" s="227"/>
      <c r="C401" s="227"/>
      <c r="D401" s="227"/>
      <c r="E401" s="227"/>
      <c r="F401" s="204" t="s">
        <v>112</v>
      </c>
      <c r="G401" s="205">
        <v>100000</v>
      </c>
      <c r="H401" s="227"/>
      <c r="I401" s="207" t="s">
        <v>1311</v>
      </c>
      <c r="J401" s="205">
        <v>100000</v>
      </c>
      <c r="K401" s="227"/>
      <c r="L401" s="255" t="s">
        <v>1207</v>
      </c>
      <c r="M401" s="214">
        <v>100000</v>
      </c>
      <c r="N401" s="227"/>
      <c r="O401" s="207" t="s">
        <v>1243</v>
      </c>
      <c r="P401" s="207">
        <v>30000</v>
      </c>
      <c r="Q401" s="227"/>
      <c r="R401" s="207" t="s">
        <v>1355</v>
      </c>
      <c r="S401" s="262">
        <v>0</v>
      </c>
      <c r="T401" s="205">
        <f t="shared" si="6"/>
        <v>330000</v>
      </c>
      <c r="U401" s="295"/>
    </row>
    <row r="402" spans="2:21" x14ac:dyDescent="0.3">
      <c r="B402" s="227"/>
      <c r="C402" s="227"/>
      <c r="D402" s="227"/>
      <c r="E402" s="227"/>
      <c r="F402" s="204" t="s">
        <v>113</v>
      </c>
      <c r="G402" s="205">
        <v>100000</v>
      </c>
      <c r="H402" s="227"/>
      <c r="I402" s="207" t="s">
        <v>1311</v>
      </c>
      <c r="J402" s="205">
        <v>100000</v>
      </c>
      <c r="K402" s="227"/>
      <c r="L402" s="255" t="s">
        <v>1207</v>
      </c>
      <c r="M402" s="214">
        <v>100000</v>
      </c>
      <c r="N402" s="227"/>
      <c r="O402" s="207" t="s">
        <v>1243</v>
      </c>
      <c r="P402" s="207">
        <v>30000</v>
      </c>
      <c r="Q402" s="227"/>
      <c r="R402" s="207" t="s">
        <v>1355</v>
      </c>
      <c r="S402" s="262">
        <v>0</v>
      </c>
      <c r="T402" s="205">
        <f t="shared" si="6"/>
        <v>330000</v>
      </c>
      <c r="U402" s="295"/>
    </row>
    <row r="403" spans="2:21" x14ac:dyDescent="0.3">
      <c r="B403" s="227"/>
      <c r="C403" s="227"/>
      <c r="D403" s="227"/>
      <c r="E403" s="227"/>
      <c r="F403" s="204" t="s">
        <v>116</v>
      </c>
      <c r="G403" s="205">
        <v>100000</v>
      </c>
      <c r="H403" s="227"/>
      <c r="I403" s="207" t="s">
        <v>1311</v>
      </c>
      <c r="J403" s="205">
        <v>100000</v>
      </c>
      <c r="K403" s="227"/>
      <c r="L403" s="255" t="s">
        <v>1207</v>
      </c>
      <c r="M403" s="205">
        <v>100000</v>
      </c>
      <c r="N403" s="227"/>
      <c r="O403" s="207" t="s">
        <v>1243</v>
      </c>
      <c r="P403" s="207">
        <v>30000</v>
      </c>
      <c r="Q403" s="227"/>
      <c r="R403" s="207" t="s">
        <v>1355</v>
      </c>
      <c r="S403" s="207">
        <v>0</v>
      </c>
      <c r="T403" s="205">
        <f t="shared" si="6"/>
        <v>330000</v>
      </c>
      <c r="U403" s="295"/>
    </row>
    <row r="404" spans="2:21" x14ac:dyDescent="0.3">
      <c r="B404" s="212"/>
      <c r="C404" s="213"/>
      <c r="D404" s="213"/>
      <c r="E404" s="230"/>
      <c r="F404" s="214" t="s">
        <v>155</v>
      </c>
      <c r="G404" s="214">
        <v>100000</v>
      </c>
      <c r="H404" s="230"/>
      <c r="I404" s="252" t="s">
        <v>1311</v>
      </c>
      <c r="J404" s="215">
        <v>50000</v>
      </c>
      <c r="K404" s="230"/>
      <c r="L404" s="253" t="s">
        <v>1207</v>
      </c>
      <c r="M404" s="214">
        <v>100000</v>
      </c>
      <c r="N404" s="230"/>
      <c r="O404" s="252" t="s">
        <v>1243</v>
      </c>
      <c r="P404" s="261">
        <v>30000</v>
      </c>
      <c r="Q404" s="230"/>
      <c r="R404" s="252" t="s">
        <v>1355</v>
      </c>
      <c r="S404" s="261">
        <v>0</v>
      </c>
      <c r="T404" s="249">
        <f t="shared" si="6"/>
        <v>280000</v>
      </c>
      <c r="U404" s="296"/>
    </row>
    <row r="405" spans="2:21" x14ac:dyDescent="0.3">
      <c r="B405" s="227"/>
      <c r="C405" s="227"/>
      <c r="D405" s="227"/>
      <c r="E405" s="227"/>
      <c r="F405" s="206" t="s">
        <v>1288</v>
      </c>
      <c r="G405" s="205">
        <v>100000</v>
      </c>
      <c r="H405" s="227"/>
      <c r="I405" s="207" t="s">
        <v>1311</v>
      </c>
      <c r="J405" s="205">
        <v>100000</v>
      </c>
      <c r="K405" s="227"/>
      <c r="L405" s="255" t="s">
        <v>1207</v>
      </c>
      <c r="M405" s="214">
        <v>100000</v>
      </c>
      <c r="N405" s="227"/>
      <c r="O405" s="207" t="s">
        <v>1243</v>
      </c>
      <c r="P405" s="207">
        <v>30000</v>
      </c>
      <c r="Q405" s="227"/>
      <c r="R405" s="207" t="s">
        <v>1355</v>
      </c>
      <c r="S405" s="262">
        <v>0</v>
      </c>
      <c r="T405" s="205">
        <f t="shared" si="6"/>
        <v>330000</v>
      </c>
      <c r="U405" s="295"/>
    </row>
    <row r="406" spans="2:21" x14ac:dyDescent="0.3">
      <c r="B406" s="227"/>
      <c r="C406" s="227"/>
      <c r="D406" s="227"/>
      <c r="E406" s="227"/>
      <c r="F406" s="206" t="s">
        <v>1260</v>
      </c>
      <c r="G406" s="205">
        <v>100000</v>
      </c>
      <c r="H406" s="227"/>
      <c r="I406" s="207" t="s">
        <v>1311</v>
      </c>
      <c r="J406" s="205">
        <v>100000</v>
      </c>
      <c r="K406" s="227"/>
      <c r="L406" s="255" t="s">
        <v>1207</v>
      </c>
      <c r="M406" s="214">
        <v>100000</v>
      </c>
      <c r="N406" s="227"/>
      <c r="O406" s="207" t="s">
        <v>1243</v>
      </c>
      <c r="P406" s="207">
        <v>30000</v>
      </c>
      <c r="Q406" s="227"/>
      <c r="R406" s="207" t="s">
        <v>1355</v>
      </c>
      <c r="S406" s="262">
        <v>0</v>
      </c>
      <c r="T406" s="205">
        <f t="shared" si="6"/>
        <v>330000</v>
      </c>
      <c r="U406" s="295"/>
    </row>
    <row r="407" spans="2:21" x14ac:dyDescent="0.3">
      <c r="B407" s="226"/>
      <c r="C407" s="226"/>
      <c r="D407" s="226"/>
      <c r="E407" s="226" t="s">
        <v>160</v>
      </c>
      <c r="F407" s="250" t="s">
        <v>1257</v>
      </c>
      <c r="G407" s="203">
        <v>100000</v>
      </c>
      <c r="H407" s="226" t="s">
        <v>161</v>
      </c>
      <c r="I407" s="203" t="s">
        <v>159</v>
      </c>
      <c r="J407" s="203">
        <v>100000</v>
      </c>
      <c r="K407" s="283" t="s">
        <v>1369</v>
      </c>
      <c r="L407" s="254" t="s">
        <v>1207</v>
      </c>
      <c r="M407" s="203">
        <v>100000</v>
      </c>
      <c r="N407" s="226" t="s">
        <v>1208</v>
      </c>
      <c r="O407" s="251" t="s">
        <v>1242</v>
      </c>
      <c r="P407" s="251">
        <v>30000</v>
      </c>
      <c r="Q407" s="226" t="s">
        <v>1366</v>
      </c>
      <c r="R407" s="251" t="s">
        <v>1355</v>
      </c>
      <c r="S407" s="251">
        <v>0</v>
      </c>
      <c r="T407" s="203">
        <f t="shared" si="6"/>
        <v>330000</v>
      </c>
      <c r="U407" s="295"/>
    </row>
    <row r="408" spans="2:21" x14ac:dyDescent="0.3">
      <c r="B408" s="227"/>
      <c r="C408" s="227"/>
      <c r="D408" s="227"/>
      <c r="E408" s="227"/>
      <c r="F408" s="206" t="s">
        <v>1257</v>
      </c>
      <c r="G408" s="205">
        <v>100000</v>
      </c>
      <c r="H408" s="227"/>
      <c r="I408" s="207" t="s">
        <v>1311</v>
      </c>
      <c r="J408" s="205">
        <v>100000</v>
      </c>
      <c r="K408" s="227"/>
      <c r="L408" s="255" t="s">
        <v>1207</v>
      </c>
      <c r="M408" s="205">
        <v>100000</v>
      </c>
      <c r="N408" s="227"/>
      <c r="O408" s="207" t="s">
        <v>1242</v>
      </c>
      <c r="P408" s="207">
        <v>30000</v>
      </c>
      <c r="Q408" s="227"/>
      <c r="R408" s="207" t="s">
        <v>1355</v>
      </c>
      <c r="S408" s="207">
        <v>0</v>
      </c>
      <c r="T408" s="205">
        <f t="shared" si="6"/>
        <v>330000</v>
      </c>
      <c r="U408" s="295"/>
    </row>
    <row r="409" spans="2:21" x14ac:dyDescent="0.3">
      <c r="B409" s="227"/>
      <c r="C409" s="227"/>
      <c r="D409" s="227"/>
      <c r="E409" s="227"/>
      <c r="F409" s="206" t="s">
        <v>1257</v>
      </c>
      <c r="G409" s="205">
        <v>100000</v>
      </c>
      <c r="H409" s="227"/>
      <c r="I409" s="205" t="s">
        <v>159</v>
      </c>
      <c r="J409" s="205">
        <v>100000</v>
      </c>
      <c r="K409" s="227"/>
      <c r="L409" s="255" t="s">
        <v>1207</v>
      </c>
      <c r="M409" s="205">
        <v>100000</v>
      </c>
      <c r="N409" s="227"/>
      <c r="O409" s="207" t="s">
        <v>1243</v>
      </c>
      <c r="P409" s="207">
        <v>30000</v>
      </c>
      <c r="Q409" s="227"/>
      <c r="R409" s="207" t="s">
        <v>1355</v>
      </c>
      <c r="S409" s="207">
        <v>0</v>
      </c>
      <c r="T409" s="205">
        <f t="shared" si="6"/>
        <v>330000</v>
      </c>
      <c r="U409" s="295"/>
    </row>
    <row r="410" spans="2:21" x14ac:dyDescent="0.3">
      <c r="B410" s="227"/>
      <c r="C410" s="227"/>
      <c r="D410" s="227"/>
      <c r="E410" s="227"/>
      <c r="F410" s="206" t="s">
        <v>1257</v>
      </c>
      <c r="G410" s="205">
        <v>100000</v>
      </c>
      <c r="H410" s="227"/>
      <c r="I410" s="207" t="s">
        <v>1311</v>
      </c>
      <c r="J410" s="205">
        <v>100000</v>
      </c>
      <c r="K410" s="227"/>
      <c r="L410" s="255" t="s">
        <v>1207</v>
      </c>
      <c r="M410" s="205">
        <v>100000</v>
      </c>
      <c r="N410" s="227"/>
      <c r="O410" s="207" t="s">
        <v>1243</v>
      </c>
      <c r="P410" s="207">
        <v>30000</v>
      </c>
      <c r="Q410" s="227"/>
      <c r="R410" s="207" t="s">
        <v>1355</v>
      </c>
      <c r="S410" s="207">
        <v>0</v>
      </c>
      <c r="T410" s="205">
        <f t="shared" si="6"/>
        <v>330000</v>
      </c>
      <c r="U410" s="295"/>
    </row>
    <row r="411" spans="2:21" x14ac:dyDescent="0.3">
      <c r="B411" s="227"/>
      <c r="C411" s="227"/>
      <c r="D411" s="227"/>
      <c r="E411" s="227"/>
      <c r="F411" s="206" t="s">
        <v>1272</v>
      </c>
      <c r="G411" s="205">
        <v>100000</v>
      </c>
      <c r="H411" s="227"/>
      <c r="I411" s="207" t="s">
        <v>1311</v>
      </c>
      <c r="J411" s="205">
        <v>100000</v>
      </c>
      <c r="K411" s="227"/>
      <c r="L411" s="255" t="s">
        <v>1207</v>
      </c>
      <c r="M411" s="205">
        <v>100000</v>
      </c>
      <c r="N411" s="227"/>
      <c r="O411" s="207" t="s">
        <v>1242</v>
      </c>
      <c r="P411" s="207">
        <v>30000</v>
      </c>
      <c r="Q411" s="227"/>
      <c r="R411" s="207" t="s">
        <v>1355</v>
      </c>
      <c r="S411" s="207">
        <v>0</v>
      </c>
      <c r="T411" s="205">
        <f t="shared" si="6"/>
        <v>330000</v>
      </c>
      <c r="U411" s="295"/>
    </row>
    <row r="412" spans="2:21" x14ac:dyDescent="0.3">
      <c r="B412" s="227"/>
      <c r="C412" s="227"/>
      <c r="D412" s="227"/>
      <c r="E412" s="227"/>
      <c r="F412" s="206" t="s">
        <v>1272</v>
      </c>
      <c r="G412" s="205">
        <v>100000</v>
      </c>
      <c r="H412" s="227"/>
      <c r="I412" s="207" t="s">
        <v>1311</v>
      </c>
      <c r="J412" s="205">
        <v>100000</v>
      </c>
      <c r="K412" s="227"/>
      <c r="L412" s="255" t="s">
        <v>1207</v>
      </c>
      <c r="M412" s="205">
        <v>100000</v>
      </c>
      <c r="N412" s="227"/>
      <c r="O412" s="207" t="s">
        <v>1243</v>
      </c>
      <c r="P412" s="207">
        <v>30000</v>
      </c>
      <c r="Q412" s="227"/>
      <c r="R412" s="207" t="s">
        <v>1355</v>
      </c>
      <c r="S412" s="207">
        <v>0</v>
      </c>
      <c r="T412" s="205">
        <f t="shared" si="6"/>
        <v>330000</v>
      </c>
      <c r="U412" s="295"/>
    </row>
    <row r="413" spans="2:21" x14ac:dyDescent="0.3">
      <c r="B413" s="227"/>
      <c r="C413" s="227"/>
      <c r="D413" s="227"/>
      <c r="E413" s="227"/>
      <c r="F413" s="204" t="s">
        <v>1187</v>
      </c>
      <c r="G413" s="205">
        <v>100000</v>
      </c>
      <c r="H413" s="227"/>
      <c r="I413" s="205" t="s">
        <v>159</v>
      </c>
      <c r="J413" s="205">
        <v>100000</v>
      </c>
      <c r="K413" s="227"/>
      <c r="L413" s="255" t="s">
        <v>1207</v>
      </c>
      <c r="M413" s="205">
        <v>100000</v>
      </c>
      <c r="N413" s="227"/>
      <c r="O413" s="207" t="s">
        <v>1242</v>
      </c>
      <c r="P413" s="207">
        <v>30000</v>
      </c>
      <c r="Q413" s="227"/>
      <c r="R413" s="207" t="s">
        <v>1355</v>
      </c>
      <c r="S413" s="207">
        <v>0</v>
      </c>
      <c r="T413" s="205">
        <f t="shared" si="6"/>
        <v>330000</v>
      </c>
      <c r="U413" s="295"/>
    </row>
    <row r="414" spans="2:21" x14ac:dyDescent="0.3">
      <c r="B414" s="227"/>
      <c r="C414" s="227"/>
      <c r="D414" s="227"/>
      <c r="E414" s="227"/>
      <c r="F414" s="204" t="s">
        <v>1187</v>
      </c>
      <c r="G414" s="205">
        <v>100000</v>
      </c>
      <c r="H414" s="227"/>
      <c r="I414" s="207" t="s">
        <v>1311</v>
      </c>
      <c r="J414" s="205">
        <v>100000</v>
      </c>
      <c r="K414" s="227"/>
      <c r="L414" s="255" t="s">
        <v>1207</v>
      </c>
      <c r="M414" s="205">
        <v>100000</v>
      </c>
      <c r="N414" s="227"/>
      <c r="O414" s="207" t="s">
        <v>1242</v>
      </c>
      <c r="P414" s="207">
        <v>30000</v>
      </c>
      <c r="Q414" s="227"/>
      <c r="R414" s="207" t="s">
        <v>1355</v>
      </c>
      <c r="S414" s="207">
        <v>0</v>
      </c>
      <c r="T414" s="205">
        <f t="shared" si="6"/>
        <v>330000</v>
      </c>
      <c r="U414" s="295"/>
    </row>
    <row r="415" spans="2:21" x14ac:dyDescent="0.3">
      <c r="B415" s="227"/>
      <c r="C415" s="227"/>
      <c r="D415" s="227"/>
      <c r="E415" s="227"/>
      <c r="F415" s="204" t="s">
        <v>1187</v>
      </c>
      <c r="G415" s="205">
        <v>100000</v>
      </c>
      <c r="H415" s="227"/>
      <c r="I415" s="205" t="s">
        <v>159</v>
      </c>
      <c r="J415" s="205">
        <v>100000</v>
      </c>
      <c r="K415" s="227"/>
      <c r="L415" s="255" t="s">
        <v>1207</v>
      </c>
      <c r="M415" s="205">
        <v>100000</v>
      </c>
      <c r="N415" s="227"/>
      <c r="O415" s="207" t="s">
        <v>1243</v>
      </c>
      <c r="P415" s="207">
        <v>30000</v>
      </c>
      <c r="Q415" s="227"/>
      <c r="R415" s="207" t="s">
        <v>1355</v>
      </c>
      <c r="S415" s="207">
        <v>0</v>
      </c>
      <c r="T415" s="205">
        <f t="shared" si="6"/>
        <v>330000</v>
      </c>
      <c r="U415" s="295"/>
    </row>
    <row r="416" spans="2:21" x14ac:dyDescent="0.3">
      <c r="B416" s="227"/>
      <c r="C416" s="227"/>
      <c r="D416" s="227"/>
      <c r="E416" s="227"/>
      <c r="F416" s="204" t="s">
        <v>1187</v>
      </c>
      <c r="G416" s="205">
        <v>100000</v>
      </c>
      <c r="H416" s="227"/>
      <c r="I416" s="207" t="s">
        <v>1311</v>
      </c>
      <c r="J416" s="205">
        <v>100000</v>
      </c>
      <c r="K416" s="227"/>
      <c r="L416" s="255" t="s">
        <v>1207</v>
      </c>
      <c r="M416" s="205">
        <v>100000</v>
      </c>
      <c r="N416" s="227"/>
      <c r="O416" s="207" t="s">
        <v>1243</v>
      </c>
      <c r="P416" s="207">
        <v>30000</v>
      </c>
      <c r="Q416" s="227"/>
      <c r="R416" s="207" t="s">
        <v>1355</v>
      </c>
      <c r="S416" s="207">
        <v>0</v>
      </c>
      <c r="T416" s="205">
        <f t="shared" si="6"/>
        <v>330000</v>
      </c>
      <c r="U416" s="295"/>
    </row>
    <row r="417" spans="2:21" x14ac:dyDescent="0.3">
      <c r="B417" s="212"/>
      <c r="C417" s="213"/>
      <c r="D417" s="213"/>
      <c r="E417" s="230"/>
      <c r="F417" s="285" t="s">
        <v>1266</v>
      </c>
      <c r="G417" s="214">
        <v>100000</v>
      </c>
      <c r="H417" s="230"/>
      <c r="I417" s="252" t="s">
        <v>1311</v>
      </c>
      <c r="J417" s="215">
        <v>50000</v>
      </c>
      <c r="K417" s="230"/>
      <c r="L417" s="253" t="s">
        <v>1207</v>
      </c>
      <c r="M417" s="214">
        <v>100000</v>
      </c>
      <c r="N417" s="230"/>
      <c r="O417" s="252" t="s">
        <v>1242</v>
      </c>
      <c r="P417" s="261">
        <v>30000</v>
      </c>
      <c r="Q417" s="230"/>
      <c r="R417" s="252" t="s">
        <v>1355</v>
      </c>
      <c r="S417" s="261">
        <v>0</v>
      </c>
      <c r="T417" s="249">
        <f t="shared" si="6"/>
        <v>280000</v>
      </c>
      <c r="U417" s="296"/>
    </row>
    <row r="418" spans="2:21" x14ac:dyDescent="0.3">
      <c r="B418" s="212"/>
      <c r="C418" s="213"/>
      <c r="D418" s="213"/>
      <c r="E418" s="230"/>
      <c r="F418" s="285" t="s">
        <v>1266</v>
      </c>
      <c r="G418" s="214">
        <v>100000</v>
      </c>
      <c r="H418" s="230"/>
      <c r="I418" s="252" t="s">
        <v>1311</v>
      </c>
      <c r="J418" s="215">
        <v>50000</v>
      </c>
      <c r="K418" s="230"/>
      <c r="L418" s="253" t="s">
        <v>1207</v>
      </c>
      <c r="M418" s="214">
        <v>100000</v>
      </c>
      <c r="N418" s="230"/>
      <c r="O418" s="252" t="s">
        <v>1243</v>
      </c>
      <c r="P418" s="261">
        <v>30000</v>
      </c>
      <c r="Q418" s="230"/>
      <c r="R418" s="252" t="s">
        <v>1355</v>
      </c>
      <c r="S418" s="261">
        <v>0</v>
      </c>
      <c r="T418" s="249">
        <f t="shared" si="6"/>
        <v>280000</v>
      </c>
      <c r="U418" s="296"/>
    </row>
    <row r="419" spans="2:21" x14ac:dyDescent="0.3">
      <c r="B419" s="226"/>
      <c r="C419" s="226"/>
      <c r="D419" s="226"/>
      <c r="E419" s="283" t="s">
        <v>107</v>
      </c>
      <c r="F419" s="250" t="s">
        <v>1284</v>
      </c>
      <c r="G419" s="203">
        <v>100000</v>
      </c>
      <c r="H419" s="283" t="s">
        <v>1390</v>
      </c>
      <c r="I419" s="203" t="s">
        <v>159</v>
      </c>
      <c r="J419" s="203">
        <v>100000</v>
      </c>
      <c r="K419" s="226" t="s">
        <v>1369</v>
      </c>
      <c r="L419" s="254" t="s">
        <v>1207</v>
      </c>
      <c r="M419" s="284">
        <v>100000</v>
      </c>
      <c r="N419" s="226" t="s">
        <v>1208</v>
      </c>
      <c r="O419" s="251" t="s">
        <v>1242</v>
      </c>
      <c r="P419" s="251">
        <v>30000</v>
      </c>
      <c r="Q419" s="226" t="s">
        <v>1366</v>
      </c>
      <c r="R419" s="251" t="s">
        <v>1355</v>
      </c>
      <c r="S419" s="294">
        <v>0</v>
      </c>
      <c r="T419" s="205">
        <f t="shared" si="6"/>
        <v>330000</v>
      </c>
      <c r="U419" s="295"/>
    </row>
    <row r="420" spans="2:21" x14ac:dyDescent="0.3">
      <c r="B420" s="227"/>
      <c r="C420" s="227"/>
      <c r="D420" s="227"/>
      <c r="E420" s="227"/>
      <c r="F420" s="206" t="s">
        <v>1284</v>
      </c>
      <c r="G420" s="205">
        <v>100000</v>
      </c>
      <c r="H420" s="227"/>
      <c r="I420" s="207" t="s">
        <v>1311</v>
      </c>
      <c r="J420" s="205">
        <v>100000</v>
      </c>
      <c r="K420" s="227"/>
      <c r="L420" s="255" t="s">
        <v>1207</v>
      </c>
      <c r="M420" s="214">
        <v>100000</v>
      </c>
      <c r="N420" s="227"/>
      <c r="O420" s="207" t="s">
        <v>1242</v>
      </c>
      <c r="P420" s="207">
        <v>30000</v>
      </c>
      <c r="Q420" s="227"/>
      <c r="R420" s="207" t="s">
        <v>1355</v>
      </c>
      <c r="S420" s="262">
        <v>0</v>
      </c>
      <c r="T420" s="205">
        <f t="shared" si="6"/>
        <v>330000</v>
      </c>
      <c r="U420" s="295"/>
    </row>
    <row r="421" spans="2:21" x14ac:dyDescent="0.3">
      <c r="B421" s="227"/>
      <c r="C421" s="227"/>
      <c r="D421" s="227"/>
      <c r="E421" s="227"/>
      <c r="F421" s="206" t="s">
        <v>1284</v>
      </c>
      <c r="G421" s="205">
        <v>100000</v>
      </c>
      <c r="H421" s="227"/>
      <c r="I421" s="205" t="s">
        <v>159</v>
      </c>
      <c r="J421" s="205">
        <v>100000</v>
      </c>
      <c r="K421" s="227"/>
      <c r="L421" s="255" t="s">
        <v>1207</v>
      </c>
      <c r="M421" s="214">
        <v>100000</v>
      </c>
      <c r="N421" s="227"/>
      <c r="O421" s="207" t="s">
        <v>1243</v>
      </c>
      <c r="P421" s="207">
        <v>30000</v>
      </c>
      <c r="Q421" s="227"/>
      <c r="R421" s="207" t="s">
        <v>1355</v>
      </c>
      <c r="S421" s="262">
        <v>0</v>
      </c>
      <c r="T421" s="205">
        <f t="shared" si="6"/>
        <v>330000</v>
      </c>
      <c r="U421" s="295"/>
    </row>
    <row r="422" spans="2:21" x14ac:dyDescent="0.3">
      <c r="B422" s="227"/>
      <c r="C422" s="227"/>
      <c r="D422" s="227"/>
      <c r="E422" s="227"/>
      <c r="F422" s="206" t="s">
        <v>1284</v>
      </c>
      <c r="G422" s="205">
        <v>100000</v>
      </c>
      <c r="H422" s="227"/>
      <c r="I422" s="207" t="s">
        <v>1311</v>
      </c>
      <c r="J422" s="205">
        <v>100000</v>
      </c>
      <c r="K422" s="227"/>
      <c r="L422" s="255" t="s">
        <v>1207</v>
      </c>
      <c r="M422" s="214">
        <v>100000</v>
      </c>
      <c r="N422" s="227"/>
      <c r="O422" s="207" t="s">
        <v>1243</v>
      </c>
      <c r="P422" s="207">
        <v>30000</v>
      </c>
      <c r="Q422" s="227"/>
      <c r="R422" s="207" t="s">
        <v>1355</v>
      </c>
      <c r="S422" s="262">
        <v>0</v>
      </c>
      <c r="T422" s="205">
        <f t="shared" si="6"/>
        <v>330000</v>
      </c>
      <c r="U422" s="295"/>
    </row>
    <row r="423" spans="2:21" x14ac:dyDescent="0.3">
      <c r="B423" s="227"/>
      <c r="C423" s="227"/>
      <c r="D423" s="227"/>
      <c r="E423" s="227"/>
      <c r="F423" s="206" t="s">
        <v>1269</v>
      </c>
      <c r="G423" s="205">
        <v>100000</v>
      </c>
      <c r="H423" s="227"/>
      <c r="I423" s="207" t="s">
        <v>1313</v>
      </c>
      <c r="J423" s="205">
        <v>100000</v>
      </c>
      <c r="K423" s="227"/>
      <c r="L423" s="255" t="s">
        <v>1354</v>
      </c>
      <c r="M423" s="205">
        <v>0</v>
      </c>
      <c r="N423" s="227"/>
      <c r="O423" s="207" t="s">
        <v>1207</v>
      </c>
      <c r="P423" s="207">
        <v>100000</v>
      </c>
      <c r="Q423" s="227"/>
      <c r="R423" s="205" t="s">
        <v>1069</v>
      </c>
      <c r="S423" s="205">
        <v>20000</v>
      </c>
      <c r="T423" s="205">
        <f t="shared" si="6"/>
        <v>320000</v>
      </c>
      <c r="U423" s="208"/>
    </row>
    <row r="424" spans="2:21" x14ac:dyDescent="0.3">
      <c r="B424" s="227"/>
      <c r="C424" s="227"/>
      <c r="D424" s="227"/>
      <c r="E424" s="227"/>
      <c r="F424" s="204" t="s">
        <v>109</v>
      </c>
      <c r="G424" s="205">
        <v>100000</v>
      </c>
      <c r="H424" s="227"/>
      <c r="I424" s="207" t="s">
        <v>1311</v>
      </c>
      <c r="J424" s="205">
        <v>100000</v>
      </c>
      <c r="K424" s="227"/>
      <c r="L424" s="255" t="s">
        <v>1354</v>
      </c>
      <c r="M424" s="214">
        <v>0</v>
      </c>
      <c r="N424" s="227"/>
      <c r="O424" s="207" t="s">
        <v>1207</v>
      </c>
      <c r="P424" s="207">
        <v>100000</v>
      </c>
      <c r="Q424" s="227"/>
      <c r="R424" s="205" t="s">
        <v>1069</v>
      </c>
      <c r="S424" s="209">
        <v>20000</v>
      </c>
      <c r="T424" s="205">
        <f t="shared" si="6"/>
        <v>320000</v>
      </c>
      <c r="U424" s="208"/>
    </row>
    <row r="425" spans="2:21" x14ac:dyDescent="0.3">
      <c r="B425" s="227"/>
      <c r="C425" s="227"/>
      <c r="D425" s="227"/>
      <c r="E425" s="227"/>
      <c r="F425" s="204" t="s">
        <v>1351</v>
      </c>
      <c r="G425" s="205">
        <v>100000</v>
      </c>
      <c r="H425" s="227"/>
      <c r="I425" s="207" t="s">
        <v>1311</v>
      </c>
      <c r="J425" s="205">
        <v>100000</v>
      </c>
      <c r="K425" s="227"/>
      <c r="L425" s="255" t="s">
        <v>1354</v>
      </c>
      <c r="M425" s="214">
        <v>0</v>
      </c>
      <c r="N425" s="227"/>
      <c r="O425" s="207" t="s">
        <v>1207</v>
      </c>
      <c r="P425" s="207">
        <v>100000</v>
      </c>
      <c r="Q425" s="227"/>
      <c r="R425" s="205" t="s">
        <v>1069</v>
      </c>
      <c r="S425" s="209">
        <v>20000</v>
      </c>
      <c r="T425" s="205">
        <f t="shared" si="6"/>
        <v>320000</v>
      </c>
      <c r="U425" s="208"/>
    </row>
    <row r="426" spans="2:21" x14ac:dyDescent="0.3">
      <c r="B426" s="227"/>
      <c r="C426" s="227"/>
      <c r="D426" s="227"/>
      <c r="E426" s="227"/>
      <c r="F426" s="204" t="s">
        <v>112</v>
      </c>
      <c r="G426" s="205">
        <v>100000</v>
      </c>
      <c r="H426" s="227"/>
      <c r="I426" s="207" t="s">
        <v>1311</v>
      </c>
      <c r="J426" s="205">
        <v>100000</v>
      </c>
      <c r="K426" s="227"/>
      <c r="L426" s="255" t="s">
        <v>1354</v>
      </c>
      <c r="M426" s="214">
        <v>0</v>
      </c>
      <c r="N426" s="227"/>
      <c r="O426" s="207" t="s">
        <v>1207</v>
      </c>
      <c r="P426" s="207">
        <v>100000</v>
      </c>
      <c r="Q426" s="227"/>
      <c r="R426" s="205" t="s">
        <v>1069</v>
      </c>
      <c r="S426" s="209">
        <v>20000</v>
      </c>
      <c r="T426" s="205">
        <f t="shared" si="6"/>
        <v>320000</v>
      </c>
      <c r="U426" s="208"/>
    </row>
    <row r="427" spans="2:21" x14ac:dyDescent="0.3">
      <c r="B427" s="227"/>
      <c r="C427" s="227"/>
      <c r="D427" s="227"/>
      <c r="E427" s="227"/>
      <c r="F427" s="204" t="s">
        <v>116</v>
      </c>
      <c r="G427" s="205">
        <v>100000</v>
      </c>
      <c r="H427" s="227"/>
      <c r="I427" s="207" t="s">
        <v>1311</v>
      </c>
      <c r="J427" s="205">
        <v>100000</v>
      </c>
      <c r="K427" s="227"/>
      <c r="L427" s="255" t="s">
        <v>1354</v>
      </c>
      <c r="M427" s="205">
        <v>0</v>
      </c>
      <c r="N427" s="227"/>
      <c r="O427" s="207" t="s">
        <v>1207</v>
      </c>
      <c r="P427" s="207">
        <v>100000</v>
      </c>
      <c r="Q427" s="227"/>
      <c r="R427" s="205" t="s">
        <v>1069</v>
      </c>
      <c r="S427" s="205">
        <v>20000</v>
      </c>
      <c r="T427" s="205">
        <f t="shared" si="6"/>
        <v>320000</v>
      </c>
      <c r="U427" s="208"/>
    </row>
    <row r="428" spans="2:21" x14ac:dyDescent="0.3">
      <c r="B428" s="212"/>
      <c r="C428" s="213"/>
      <c r="D428" s="213"/>
      <c r="E428" s="230"/>
      <c r="F428" s="214" t="s">
        <v>155</v>
      </c>
      <c r="G428" s="214">
        <v>100000</v>
      </c>
      <c r="H428" s="230"/>
      <c r="I428" s="252" t="s">
        <v>1311</v>
      </c>
      <c r="J428" s="215">
        <v>50000</v>
      </c>
      <c r="K428" s="230"/>
      <c r="L428" s="253" t="s">
        <v>1354</v>
      </c>
      <c r="M428" s="214">
        <v>0</v>
      </c>
      <c r="N428" s="230"/>
      <c r="O428" s="252" t="s">
        <v>1207</v>
      </c>
      <c r="P428" s="261">
        <v>100000</v>
      </c>
      <c r="Q428" s="230"/>
      <c r="R428" s="216" t="s">
        <v>1069</v>
      </c>
      <c r="S428" s="215">
        <v>20000</v>
      </c>
      <c r="T428" s="249">
        <f t="shared" si="6"/>
        <v>270000</v>
      </c>
      <c r="U428" s="217"/>
    </row>
    <row r="429" spans="2:21" x14ac:dyDescent="0.3">
      <c r="B429" s="227"/>
      <c r="C429" s="227"/>
      <c r="D429" s="227"/>
      <c r="E429" s="227"/>
      <c r="F429" s="206" t="s">
        <v>1288</v>
      </c>
      <c r="G429" s="205">
        <v>100000</v>
      </c>
      <c r="H429" s="227"/>
      <c r="I429" s="207" t="s">
        <v>1311</v>
      </c>
      <c r="J429" s="205">
        <v>100000</v>
      </c>
      <c r="K429" s="227"/>
      <c r="L429" s="255" t="s">
        <v>1354</v>
      </c>
      <c r="M429" s="214">
        <v>0</v>
      </c>
      <c r="N429" s="227"/>
      <c r="O429" s="207" t="s">
        <v>1207</v>
      </c>
      <c r="P429" s="207">
        <v>100000</v>
      </c>
      <c r="Q429" s="227"/>
      <c r="R429" s="205" t="s">
        <v>1069</v>
      </c>
      <c r="S429" s="209">
        <v>20000</v>
      </c>
      <c r="T429" s="205">
        <f t="shared" si="6"/>
        <v>320000</v>
      </c>
      <c r="U429" s="208"/>
    </row>
    <row r="430" spans="2:21" x14ac:dyDescent="0.3">
      <c r="B430" s="227"/>
      <c r="C430" s="227"/>
      <c r="D430" s="227"/>
      <c r="E430" s="227"/>
      <c r="F430" s="257" t="s">
        <v>1260</v>
      </c>
      <c r="G430" s="210">
        <v>100000</v>
      </c>
      <c r="H430" s="227"/>
      <c r="I430" s="260" t="s">
        <v>1311</v>
      </c>
      <c r="J430" s="210">
        <v>100000</v>
      </c>
      <c r="K430" s="227"/>
      <c r="L430" s="256" t="s">
        <v>1354</v>
      </c>
      <c r="M430" s="258">
        <v>0</v>
      </c>
      <c r="N430" s="227"/>
      <c r="O430" s="260" t="s">
        <v>1207</v>
      </c>
      <c r="P430" s="260">
        <v>100000</v>
      </c>
      <c r="Q430" s="227"/>
      <c r="R430" s="210" t="s">
        <v>1069</v>
      </c>
      <c r="S430" s="259">
        <v>20000</v>
      </c>
      <c r="T430" s="210">
        <f t="shared" si="6"/>
        <v>320000</v>
      </c>
      <c r="U430" s="208"/>
    </row>
    <row r="431" spans="2:21" x14ac:dyDescent="0.3">
      <c r="B431" s="227"/>
      <c r="C431" s="227"/>
      <c r="D431" s="227"/>
      <c r="E431" s="227"/>
      <c r="F431" s="206" t="s">
        <v>1269</v>
      </c>
      <c r="G431" s="205">
        <v>100000</v>
      </c>
      <c r="H431" s="227"/>
      <c r="I431" s="207" t="s">
        <v>1313</v>
      </c>
      <c r="J431" s="205">
        <v>100000</v>
      </c>
      <c r="K431" s="227"/>
      <c r="L431" s="255" t="s">
        <v>1354</v>
      </c>
      <c r="M431" s="205">
        <v>0</v>
      </c>
      <c r="N431" s="227"/>
      <c r="O431" s="207" t="s">
        <v>1242</v>
      </c>
      <c r="P431" s="207">
        <v>30000</v>
      </c>
      <c r="Q431" s="227"/>
      <c r="R431" s="205" t="s">
        <v>1069</v>
      </c>
      <c r="S431" s="205">
        <v>20000</v>
      </c>
      <c r="T431" s="205">
        <f t="shared" si="6"/>
        <v>250000</v>
      </c>
      <c r="U431" s="208"/>
    </row>
    <row r="432" spans="2:21" x14ac:dyDescent="0.3">
      <c r="B432" s="227"/>
      <c r="C432" s="227"/>
      <c r="D432" s="227"/>
      <c r="E432" s="227"/>
      <c r="F432" s="206" t="s">
        <v>1269</v>
      </c>
      <c r="G432" s="205">
        <v>100000</v>
      </c>
      <c r="H432" s="227"/>
      <c r="I432" s="207" t="s">
        <v>1313</v>
      </c>
      <c r="J432" s="205">
        <v>100000</v>
      </c>
      <c r="K432" s="227"/>
      <c r="L432" s="255" t="s">
        <v>1354</v>
      </c>
      <c r="M432" s="205">
        <v>0</v>
      </c>
      <c r="N432" s="227"/>
      <c r="O432" s="207" t="s">
        <v>1242</v>
      </c>
      <c r="P432" s="207">
        <v>30000</v>
      </c>
      <c r="Q432" s="227"/>
      <c r="R432" s="205" t="s">
        <v>1069</v>
      </c>
      <c r="S432" s="205">
        <v>20000</v>
      </c>
      <c r="T432" s="205">
        <f t="shared" si="6"/>
        <v>250000</v>
      </c>
      <c r="U432" s="208"/>
    </row>
    <row r="433" spans="2:21" x14ac:dyDescent="0.3">
      <c r="B433" s="227"/>
      <c r="C433" s="227"/>
      <c r="D433" s="227"/>
      <c r="E433" s="227"/>
      <c r="F433" s="204" t="s">
        <v>109</v>
      </c>
      <c r="G433" s="205">
        <v>100000</v>
      </c>
      <c r="H433" s="227"/>
      <c r="I433" s="207" t="s">
        <v>1311</v>
      </c>
      <c r="J433" s="205">
        <v>100000</v>
      </c>
      <c r="K433" s="227"/>
      <c r="L433" s="255" t="s">
        <v>1354</v>
      </c>
      <c r="M433" s="214">
        <v>0</v>
      </c>
      <c r="N433" s="227"/>
      <c r="O433" s="207" t="s">
        <v>1242</v>
      </c>
      <c r="P433" s="207">
        <v>30000</v>
      </c>
      <c r="Q433" s="227"/>
      <c r="R433" s="205" t="s">
        <v>1069</v>
      </c>
      <c r="S433" s="209">
        <v>20000</v>
      </c>
      <c r="T433" s="205">
        <f t="shared" si="6"/>
        <v>250000</v>
      </c>
      <c r="U433" s="208"/>
    </row>
    <row r="434" spans="2:21" x14ac:dyDescent="0.3">
      <c r="B434" s="227"/>
      <c r="C434" s="227"/>
      <c r="D434" s="227"/>
      <c r="E434" s="227"/>
      <c r="F434" s="204" t="s">
        <v>1351</v>
      </c>
      <c r="G434" s="205">
        <v>100000</v>
      </c>
      <c r="H434" s="227"/>
      <c r="I434" s="207" t="s">
        <v>1311</v>
      </c>
      <c r="J434" s="205">
        <v>100000</v>
      </c>
      <c r="K434" s="227"/>
      <c r="L434" s="255" t="s">
        <v>1354</v>
      </c>
      <c r="M434" s="214">
        <v>0</v>
      </c>
      <c r="N434" s="227"/>
      <c r="O434" s="207" t="s">
        <v>1242</v>
      </c>
      <c r="P434" s="207">
        <v>30000</v>
      </c>
      <c r="Q434" s="227"/>
      <c r="R434" s="205" t="s">
        <v>1069</v>
      </c>
      <c r="S434" s="209">
        <v>20000</v>
      </c>
      <c r="T434" s="205">
        <f t="shared" si="6"/>
        <v>250000</v>
      </c>
      <c r="U434" s="208"/>
    </row>
    <row r="435" spans="2:21" x14ac:dyDescent="0.3">
      <c r="B435" s="227"/>
      <c r="C435" s="227"/>
      <c r="D435" s="227"/>
      <c r="E435" s="227"/>
      <c r="F435" s="204" t="s">
        <v>112</v>
      </c>
      <c r="G435" s="205">
        <v>100000</v>
      </c>
      <c r="H435" s="227"/>
      <c r="I435" s="207" t="s">
        <v>1311</v>
      </c>
      <c r="J435" s="205">
        <v>100000</v>
      </c>
      <c r="K435" s="227"/>
      <c r="L435" s="255" t="s">
        <v>1354</v>
      </c>
      <c r="M435" s="214">
        <v>0</v>
      </c>
      <c r="N435" s="227"/>
      <c r="O435" s="207" t="s">
        <v>1242</v>
      </c>
      <c r="P435" s="207">
        <v>30000</v>
      </c>
      <c r="Q435" s="227"/>
      <c r="R435" s="205" t="s">
        <v>1069</v>
      </c>
      <c r="S435" s="209">
        <v>20000</v>
      </c>
      <c r="T435" s="205">
        <f t="shared" si="6"/>
        <v>250000</v>
      </c>
      <c r="U435" s="208"/>
    </row>
    <row r="436" spans="2:21" x14ac:dyDescent="0.3">
      <c r="B436" s="227"/>
      <c r="C436" s="227"/>
      <c r="D436" s="227"/>
      <c r="E436" s="227"/>
      <c r="F436" s="204" t="s">
        <v>116</v>
      </c>
      <c r="G436" s="205">
        <v>100000</v>
      </c>
      <c r="H436" s="227"/>
      <c r="I436" s="207" t="s">
        <v>1311</v>
      </c>
      <c r="J436" s="205">
        <v>100000</v>
      </c>
      <c r="K436" s="227"/>
      <c r="L436" s="255" t="s">
        <v>1354</v>
      </c>
      <c r="M436" s="205">
        <v>0</v>
      </c>
      <c r="N436" s="227"/>
      <c r="O436" s="207" t="s">
        <v>1242</v>
      </c>
      <c r="P436" s="207">
        <v>30000</v>
      </c>
      <c r="Q436" s="227"/>
      <c r="R436" s="205" t="s">
        <v>1069</v>
      </c>
      <c r="S436" s="205">
        <v>20000</v>
      </c>
      <c r="T436" s="205">
        <f t="shared" si="6"/>
        <v>250000</v>
      </c>
      <c r="U436" s="208"/>
    </row>
    <row r="437" spans="2:21" x14ac:dyDescent="0.3">
      <c r="B437" s="212"/>
      <c r="C437" s="213"/>
      <c r="D437" s="213"/>
      <c r="E437" s="230"/>
      <c r="F437" s="214" t="s">
        <v>155</v>
      </c>
      <c r="G437" s="214">
        <v>100000</v>
      </c>
      <c r="H437" s="230"/>
      <c r="I437" s="252" t="s">
        <v>1311</v>
      </c>
      <c r="J437" s="215">
        <v>50000</v>
      </c>
      <c r="K437" s="230"/>
      <c r="L437" s="253" t="s">
        <v>1354</v>
      </c>
      <c r="M437" s="214">
        <v>0</v>
      </c>
      <c r="N437" s="230"/>
      <c r="O437" s="252" t="s">
        <v>1242</v>
      </c>
      <c r="P437" s="261">
        <v>30000</v>
      </c>
      <c r="Q437" s="230"/>
      <c r="R437" s="216" t="s">
        <v>1069</v>
      </c>
      <c r="S437" s="215">
        <v>20000</v>
      </c>
      <c r="T437" s="249">
        <f t="shared" si="6"/>
        <v>200000</v>
      </c>
      <c r="U437" s="217"/>
    </row>
    <row r="438" spans="2:21" x14ac:dyDescent="0.3">
      <c r="B438" s="227"/>
      <c r="C438" s="227"/>
      <c r="D438" s="227"/>
      <c r="E438" s="227"/>
      <c r="F438" s="206" t="s">
        <v>1288</v>
      </c>
      <c r="G438" s="205">
        <v>100000</v>
      </c>
      <c r="H438" s="227"/>
      <c r="I438" s="207" t="s">
        <v>1311</v>
      </c>
      <c r="J438" s="205">
        <v>100000</v>
      </c>
      <c r="K438" s="227"/>
      <c r="L438" s="255" t="s">
        <v>1354</v>
      </c>
      <c r="M438" s="214">
        <v>0</v>
      </c>
      <c r="N438" s="227"/>
      <c r="O438" s="207" t="s">
        <v>1242</v>
      </c>
      <c r="P438" s="207">
        <v>30000</v>
      </c>
      <c r="Q438" s="227"/>
      <c r="R438" s="205" t="s">
        <v>1069</v>
      </c>
      <c r="S438" s="209">
        <v>20000</v>
      </c>
      <c r="T438" s="205">
        <f t="shared" si="6"/>
        <v>250000</v>
      </c>
      <c r="U438" s="208"/>
    </row>
    <row r="439" spans="2:21" x14ac:dyDescent="0.3">
      <c r="B439" s="227"/>
      <c r="C439" s="227"/>
      <c r="D439" s="227"/>
      <c r="E439" s="227"/>
      <c r="F439" s="206" t="s">
        <v>1260</v>
      </c>
      <c r="G439" s="205">
        <v>100000</v>
      </c>
      <c r="H439" s="227"/>
      <c r="I439" s="207" t="s">
        <v>1311</v>
      </c>
      <c r="J439" s="205">
        <v>100000</v>
      </c>
      <c r="K439" s="227"/>
      <c r="L439" s="255" t="s">
        <v>1354</v>
      </c>
      <c r="M439" s="214">
        <v>0</v>
      </c>
      <c r="N439" s="227"/>
      <c r="O439" s="207" t="s">
        <v>1242</v>
      </c>
      <c r="P439" s="207">
        <v>30000</v>
      </c>
      <c r="Q439" s="227"/>
      <c r="R439" s="205" t="s">
        <v>1069</v>
      </c>
      <c r="S439" s="209">
        <v>20000</v>
      </c>
      <c r="T439" s="205">
        <f t="shared" si="6"/>
        <v>250000</v>
      </c>
      <c r="U439" s="208"/>
    </row>
    <row r="440" spans="2:21" x14ac:dyDescent="0.3">
      <c r="B440" s="227"/>
      <c r="C440" s="227"/>
      <c r="D440" s="227"/>
      <c r="E440" s="227"/>
      <c r="F440" s="206" t="s">
        <v>1269</v>
      </c>
      <c r="G440" s="205">
        <v>100000</v>
      </c>
      <c r="H440" s="227"/>
      <c r="I440" s="207" t="s">
        <v>1313</v>
      </c>
      <c r="J440" s="205">
        <v>100000</v>
      </c>
      <c r="K440" s="227"/>
      <c r="L440" s="255" t="s">
        <v>1354</v>
      </c>
      <c r="M440" s="205">
        <v>0</v>
      </c>
      <c r="N440" s="227"/>
      <c r="O440" s="207" t="s">
        <v>1243</v>
      </c>
      <c r="P440" s="207">
        <v>30000</v>
      </c>
      <c r="Q440" s="227"/>
      <c r="R440" s="205" t="s">
        <v>1069</v>
      </c>
      <c r="S440" s="205">
        <v>20000</v>
      </c>
      <c r="T440" s="205">
        <f t="shared" si="6"/>
        <v>250000</v>
      </c>
      <c r="U440" s="208"/>
    </row>
    <row r="441" spans="2:21" x14ac:dyDescent="0.3">
      <c r="B441" s="227"/>
      <c r="C441" s="227"/>
      <c r="D441" s="227"/>
      <c r="E441" s="227"/>
      <c r="F441" s="204" t="s">
        <v>109</v>
      </c>
      <c r="G441" s="205">
        <v>100000</v>
      </c>
      <c r="H441" s="227"/>
      <c r="I441" s="207" t="s">
        <v>1311</v>
      </c>
      <c r="J441" s="205">
        <v>100000</v>
      </c>
      <c r="K441" s="227"/>
      <c r="L441" s="255" t="s">
        <v>1354</v>
      </c>
      <c r="M441" s="214">
        <v>0</v>
      </c>
      <c r="N441" s="227"/>
      <c r="O441" s="207" t="s">
        <v>1243</v>
      </c>
      <c r="P441" s="207">
        <v>30000</v>
      </c>
      <c r="Q441" s="227"/>
      <c r="R441" s="205" t="s">
        <v>1069</v>
      </c>
      <c r="S441" s="209">
        <v>20000</v>
      </c>
      <c r="T441" s="205">
        <f t="shared" si="6"/>
        <v>250000</v>
      </c>
      <c r="U441" s="208"/>
    </row>
    <row r="442" spans="2:21" x14ac:dyDescent="0.3">
      <c r="B442" s="227"/>
      <c r="C442" s="227"/>
      <c r="D442" s="227"/>
      <c r="E442" s="227"/>
      <c r="F442" s="204" t="s">
        <v>1351</v>
      </c>
      <c r="G442" s="205">
        <v>100000</v>
      </c>
      <c r="H442" s="227"/>
      <c r="I442" s="207" t="s">
        <v>1311</v>
      </c>
      <c r="J442" s="205">
        <v>100000</v>
      </c>
      <c r="K442" s="227"/>
      <c r="L442" s="255" t="s">
        <v>1354</v>
      </c>
      <c r="M442" s="214">
        <v>0</v>
      </c>
      <c r="N442" s="227"/>
      <c r="O442" s="207" t="s">
        <v>1243</v>
      </c>
      <c r="P442" s="207">
        <v>30000</v>
      </c>
      <c r="Q442" s="227"/>
      <c r="R442" s="205" t="s">
        <v>1069</v>
      </c>
      <c r="S442" s="209">
        <v>20000</v>
      </c>
      <c r="T442" s="205">
        <f t="shared" si="6"/>
        <v>250000</v>
      </c>
      <c r="U442" s="208"/>
    </row>
    <row r="443" spans="2:21" x14ac:dyDescent="0.3">
      <c r="B443" s="227"/>
      <c r="C443" s="227"/>
      <c r="D443" s="227"/>
      <c r="E443" s="227"/>
      <c r="F443" s="204" t="s">
        <v>112</v>
      </c>
      <c r="G443" s="205">
        <v>100000</v>
      </c>
      <c r="H443" s="227"/>
      <c r="I443" s="207" t="s">
        <v>1311</v>
      </c>
      <c r="J443" s="205">
        <v>100000</v>
      </c>
      <c r="K443" s="227"/>
      <c r="L443" s="255" t="s">
        <v>1354</v>
      </c>
      <c r="M443" s="214">
        <v>0</v>
      </c>
      <c r="N443" s="227"/>
      <c r="O443" s="207" t="s">
        <v>1243</v>
      </c>
      <c r="P443" s="207">
        <v>30000</v>
      </c>
      <c r="Q443" s="227"/>
      <c r="R443" s="205" t="s">
        <v>1069</v>
      </c>
      <c r="S443" s="209">
        <v>20000</v>
      </c>
      <c r="T443" s="205">
        <f t="shared" si="6"/>
        <v>250000</v>
      </c>
      <c r="U443" s="208"/>
    </row>
    <row r="444" spans="2:21" x14ac:dyDescent="0.3">
      <c r="B444" s="227"/>
      <c r="C444" s="227"/>
      <c r="D444" s="227"/>
      <c r="E444" s="227"/>
      <c r="F444" s="204" t="s">
        <v>116</v>
      </c>
      <c r="G444" s="205">
        <v>100000</v>
      </c>
      <c r="H444" s="227"/>
      <c r="I444" s="207" t="s">
        <v>1311</v>
      </c>
      <c r="J444" s="205">
        <v>100000</v>
      </c>
      <c r="K444" s="227"/>
      <c r="L444" s="255" t="s">
        <v>1354</v>
      </c>
      <c r="M444" s="205">
        <v>0</v>
      </c>
      <c r="N444" s="227"/>
      <c r="O444" s="207" t="s">
        <v>1243</v>
      </c>
      <c r="P444" s="207">
        <v>30000</v>
      </c>
      <c r="Q444" s="227"/>
      <c r="R444" s="205" t="s">
        <v>1069</v>
      </c>
      <c r="S444" s="205">
        <v>20000</v>
      </c>
      <c r="T444" s="205">
        <f t="shared" si="6"/>
        <v>250000</v>
      </c>
      <c r="U444" s="208"/>
    </row>
    <row r="445" spans="2:21" x14ac:dyDescent="0.3">
      <c r="B445" s="212"/>
      <c r="C445" s="213"/>
      <c r="D445" s="213"/>
      <c r="E445" s="230"/>
      <c r="F445" s="214" t="s">
        <v>155</v>
      </c>
      <c r="G445" s="214">
        <v>100000</v>
      </c>
      <c r="H445" s="230"/>
      <c r="I445" s="252" t="s">
        <v>1311</v>
      </c>
      <c r="J445" s="215">
        <v>50000</v>
      </c>
      <c r="K445" s="230"/>
      <c r="L445" s="253" t="s">
        <v>1354</v>
      </c>
      <c r="M445" s="214">
        <v>0</v>
      </c>
      <c r="N445" s="230"/>
      <c r="O445" s="252" t="s">
        <v>1243</v>
      </c>
      <c r="P445" s="261">
        <v>30000</v>
      </c>
      <c r="Q445" s="230"/>
      <c r="R445" s="216" t="s">
        <v>1069</v>
      </c>
      <c r="S445" s="215">
        <v>20000</v>
      </c>
      <c r="T445" s="249">
        <f t="shared" si="6"/>
        <v>200000</v>
      </c>
      <c r="U445" s="217"/>
    </row>
    <row r="446" spans="2:21" x14ac:dyDescent="0.3">
      <c r="B446" s="227"/>
      <c r="C446" s="227"/>
      <c r="D446" s="227"/>
      <c r="E446" s="227"/>
      <c r="F446" s="206" t="s">
        <v>1288</v>
      </c>
      <c r="G446" s="205">
        <v>100000</v>
      </c>
      <c r="H446" s="227"/>
      <c r="I446" s="207" t="s">
        <v>1311</v>
      </c>
      <c r="J446" s="205">
        <v>100000</v>
      </c>
      <c r="K446" s="227"/>
      <c r="L446" s="255" t="s">
        <v>1354</v>
      </c>
      <c r="M446" s="214">
        <v>0</v>
      </c>
      <c r="N446" s="227"/>
      <c r="O446" s="207" t="s">
        <v>1243</v>
      </c>
      <c r="P446" s="207">
        <v>30000</v>
      </c>
      <c r="Q446" s="227"/>
      <c r="R446" s="205" t="s">
        <v>1069</v>
      </c>
      <c r="S446" s="209">
        <v>20000</v>
      </c>
      <c r="T446" s="205">
        <f t="shared" si="6"/>
        <v>250000</v>
      </c>
      <c r="U446" s="208"/>
    </row>
    <row r="447" spans="2:21" x14ac:dyDescent="0.3">
      <c r="B447" s="227"/>
      <c r="C447" s="227"/>
      <c r="D447" s="227"/>
      <c r="E447" s="227"/>
      <c r="F447" s="206" t="s">
        <v>1260</v>
      </c>
      <c r="G447" s="205">
        <v>100000</v>
      </c>
      <c r="H447" s="227"/>
      <c r="I447" s="207" t="s">
        <v>1311</v>
      </c>
      <c r="J447" s="205">
        <v>100000</v>
      </c>
      <c r="K447" s="227"/>
      <c r="L447" s="255" t="s">
        <v>1354</v>
      </c>
      <c r="M447" s="214">
        <v>0</v>
      </c>
      <c r="N447" s="227"/>
      <c r="O447" s="207" t="s">
        <v>1243</v>
      </c>
      <c r="P447" s="207">
        <v>30000</v>
      </c>
      <c r="Q447" s="227"/>
      <c r="R447" s="205" t="s">
        <v>1069</v>
      </c>
      <c r="S447" s="209">
        <v>20000</v>
      </c>
      <c r="T447" s="205">
        <f t="shared" si="6"/>
        <v>250000</v>
      </c>
      <c r="U447" s="208"/>
    </row>
    <row r="448" spans="2:21" x14ac:dyDescent="0.3">
      <c r="B448" s="227"/>
      <c r="C448" s="227"/>
      <c r="D448" s="227"/>
      <c r="E448" s="227"/>
      <c r="F448" s="206" t="s">
        <v>1257</v>
      </c>
      <c r="G448" s="205">
        <v>100000</v>
      </c>
      <c r="H448" s="227"/>
      <c r="I448" s="207" t="s">
        <v>1311</v>
      </c>
      <c r="J448" s="205">
        <v>100000</v>
      </c>
      <c r="K448" s="227"/>
      <c r="L448" s="255" t="s">
        <v>1354</v>
      </c>
      <c r="M448" s="205">
        <v>0</v>
      </c>
      <c r="N448" s="227"/>
      <c r="O448" s="207" t="s">
        <v>1207</v>
      </c>
      <c r="P448" s="207">
        <v>100000</v>
      </c>
      <c r="Q448" s="227"/>
      <c r="R448" s="205" t="s">
        <v>1069</v>
      </c>
      <c r="S448" s="205">
        <v>20000</v>
      </c>
      <c r="T448" s="205">
        <f t="shared" si="6"/>
        <v>320000</v>
      </c>
      <c r="U448" s="208"/>
    </row>
    <row r="449" spans="2:21" x14ac:dyDescent="0.3">
      <c r="B449" s="227"/>
      <c r="C449" s="227"/>
      <c r="D449" s="227"/>
      <c r="E449" s="227"/>
      <c r="F449" s="206" t="s">
        <v>1257</v>
      </c>
      <c r="G449" s="205">
        <v>100000</v>
      </c>
      <c r="H449" s="227"/>
      <c r="I449" s="207" t="s">
        <v>1311</v>
      </c>
      <c r="J449" s="205">
        <v>100000</v>
      </c>
      <c r="K449" s="227"/>
      <c r="L449" s="255" t="s">
        <v>1354</v>
      </c>
      <c r="M449" s="205">
        <v>0</v>
      </c>
      <c r="N449" s="227"/>
      <c r="O449" s="207" t="s">
        <v>1242</v>
      </c>
      <c r="P449" s="207">
        <v>30000</v>
      </c>
      <c r="Q449" s="227"/>
      <c r="R449" s="205" t="s">
        <v>1069</v>
      </c>
      <c r="S449" s="205">
        <v>20000</v>
      </c>
      <c r="T449" s="205">
        <f t="shared" si="6"/>
        <v>250000</v>
      </c>
      <c r="U449" s="208"/>
    </row>
    <row r="450" spans="2:21" x14ac:dyDescent="0.3">
      <c r="B450" s="227"/>
      <c r="C450" s="227"/>
      <c r="D450" s="227"/>
      <c r="E450" s="227"/>
      <c r="F450" s="206" t="s">
        <v>1257</v>
      </c>
      <c r="G450" s="205">
        <v>100000</v>
      </c>
      <c r="H450" s="227"/>
      <c r="I450" s="207" t="s">
        <v>1311</v>
      </c>
      <c r="J450" s="205">
        <v>100000</v>
      </c>
      <c r="K450" s="227"/>
      <c r="L450" s="255" t="s">
        <v>1354</v>
      </c>
      <c r="M450" s="205">
        <v>0</v>
      </c>
      <c r="N450" s="227"/>
      <c r="O450" s="207" t="s">
        <v>1243</v>
      </c>
      <c r="P450" s="207">
        <v>30000</v>
      </c>
      <c r="Q450" s="227"/>
      <c r="R450" s="205" t="s">
        <v>1069</v>
      </c>
      <c r="S450" s="205">
        <v>20000</v>
      </c>
      <c r="T450" s="205">
        <f t="shared" si="6"/>
        <v>250000</v>
      </c>
      <c r="U450" s="208"/>
    </row>
    <row r="451" spans="2:21" x14ac:dyDescent="0.3">
      <c r="B451" s="227"/>
      <c r="C451" s="227"/>
      <c r="D451" s="227"/>
      <c r="E451" s="227"/>
      <c r="F451" s="206" t="s">
        <v>1272</v>
      </c>
      <c r="G451" s="205">
        <v>100000</v>
      </c>
      <c r="H451" s="227"/>
      <c r="I451" s="207" t="s">
        <v>1311</v>
      </c>
      <c r="J451" s="205">
        <v>100000</v>
      </c>
      <c r="K451" s="227"/>
      <c r="L451" s="255" t="s">
        <v>1354</v>
      </c>
      <c r="M451" s="205">
        <v>0</v>
      </c>
      <c r="N451" s="227"/>
      <c r="O451" s="207" t="s">
        <v>1207</v>
      </c>
      <c r="P451" s="207">
        <v>100000</v>
      </c>
      <c r="Q451" s="227"/>
      <c r="R451" s="205" t="s">
        <v>1069</v>
      </c>
      <c r="S451" s="205">
        <v>20000</v>
      </c>
      <c r="T451" s="205">
        <f t="shared" si="6"/>
        <v>320000</v>
      </c>
      <c r="U451" s="208"/>
    </row>
    <row r="452" spans="2:21" x14ac:dyDescent="0.3">
      <c r="B452" s="227"/>
      <c r="C452" s="227"/>
      <c r="D452" s="227"/>
      <c r="E452" s="227"/>
      <c r="F452" s="206" t="s">
        <v>1272</v>
      </c>
      <c r="G452" s="205">
        <v>100000</v>
      </c>
      <c r="H452" s="227"/>
      <c r="I452" s="207" t="s">
        <v>1311</v>
      </c>
      <c r="J452" s="205">
        <v>100000</v>
      </c>
      <c r="K452" s="227"/>
      <c r="L452" s="255" t="s">
        <v>1354</v>
      </c>
      <c r="M452" s="205">
        <v>0</v>
      </c>
      <c r="N452" s="227"/>
      <c r="O452" s="207" t="s">
        <v>1242</v>
      </c>
      <c r="P452" s="207">
        <v>30000</v>
      </c>
      <c r="Q452" s="227"/>
      <c r="R452" s="205" t="s">
        <v>1069</v>
      </c>
      <c r="S452" s="205">
        <v>20000</v>
      </c>
      <c r="T452" s="205">
        <f t="shared" si="6"/>
        <v>250000</v>
      </c>
      <c r="U452" s="208"/>
    </row>
    <row r="453" spans="2:21" x14ac:dyDescent="0.3">
      <c r="B453" s="227"/>
      <c r="C453" s="227"/>
      <c r="D453" s="227"/>
      <c r="E453" s="227"/>
      <c r="F453" s="206" t="s">
        <v>1272</v>
      </c>
      <c r="G453" s="205">
        <v>100000</v>
      </c>
      <c r="H453" s="227"/>
      <c r="I453" s="207" t="s">
        <v>1311</v>
      </c>
      <c r="J453" s="205">
        <v>100000</v>
      </c>
      <c r="K453" s="227"/>
      <c r="L453" s="255" t="s">
        <v>1354</v>
      </c>
      <c r="M453" s="205">
        <v>0</v>
      </c>
      <c r="N453" s="227"/>
      <c r="O453" s="207" t="s">
        <v>1243</v>
      </c>
      <c r="P453" s="207">
        <v>30000</v>
      </c>
      <c r="Q453" s="227"/>
      <c r="R453" s="205" t="s">
        <v>1069</v>
      </c>
      <c r="S453" s="205">
        <v>20000</v>
      </c>
      <c r="T453" s="205">
        <f t="shared" si="6"/>
        <v>250000</v>
      </c>
      <c r="U453" s="208"/>
    </row>
    <row r="454" spans="2:21" x14ac:dyDescent="0.3">
      <c r="B454" s="227"/>
      <c r="C454" s="227"/>
      <c r="D454" s="227"/>
      <c r="E454" s="227"/>
      <c r="F454" s="204" t="s">
        <v>1187</v>
      </c>
      <c r="G454" s="205">
        <v>100000</v>
      </c>
      <c r="H454" s="227"/>
      <c r="I454" s="207" t="s">
        <v>1311</v>
      </c>
      <c r="J454" s="205">
        <v>100000</v>
      </c>
      <c r="K454" s="227"/>
      <c r="L454" s="255" t="s">
        <v>1354</v>
      </c>
      <c r="M454" s="205">
        <v>0</v>
      </c>
      <c r="N454" s="227"/>
      <c r="O454" s="207" t="s">
        <v>1207</v>
      </c>
      <c r="P454" s="207">
        <v>100000</v>
      </c>
      <c r="Q454" s="227"/>
      <c r="R454" s="205" t="s">
        <v>1069</v>
      </c>
      <c r="S454" s="205">
        <v>20000</v>
      </c>
      <c r="T454" s="205">
        <f t="shared" si="6"/>
        <v>320000</v>
      </c>
      <c r="U454" s="208"/>
    </row>
    <row r="455" spans="2:21" x14ac:dyDescent="0.3">
      <c r="B455" s="227"/>
      <c r="C455" s="227"/>
      <c r="D455" s="227"/>
      <c r="E455" s="227"/>
      <c r="F455" s="204" t="s">
        <v>1187</v>
      </c>
      <c r="G455" s="205">
        <v>100000</v>
      </c>
      <c r="H455" s="227"/>
      <c r="I455" s="207" t="s">
        <v>1311</v>
      </c>
      <c r="J455" s="205">
        <v>100000</v>
      </c>
      <c r="K455" s="227"/>
      <c r="L455" s="255" t="s">
        <v>1354</v>
      </c>
      <c r="M455" s="205">
        <v>0</v>
      </c>
      <c r="N455" s="227"/>
      <c r="O455" s="207" t="s">
        <v>1242</v>
      </c>
      <c r="P455" s="207">
        <v>30000</v>
      </c>
      <c r="Q455" s="227"/>
      <c r="R455" s="205" t="s">
        <v>1069</v>
      </c>
      <c r="S455" s="205">
        <v>20000</v>
      </c>
      <c r="T455" s="205">
        <f t="shared" si="6"/>
        <v>250000</v>
      </c>
      <c r="U455" s="208"/>
    </row>
    <row r="456" spans="2:21" x14ac:dyDescent="0.3">
      <c r="B456" s="227"/>
      <c r="C456" s="227"/>
      <c r="D456" s="227"/>
      <c r="E456" s="227"/>
      <c r="F456" s="204" t="s">
        <v>1187</v>
      </c>
      <c r="G456" s="205">
        <v>100000</v>
      </c>
      <c r="H456" s="227"/>
      <c r="I456" s="207" t="s">
        <v>1311</v>
      </c>
      <c r="J456" s="205">
        <v>100000</v>
      </c>
      <c r="K456" s="227"/>
      <c r="L456" s="255" t="s">
        <v>1354</v>
      </c>
      <c r="M456" s="205">
        <v>0</v>
      </c>
      <c r="N456" s="227"/>
      <c r="O456" s="207" t="s">
        <v>1243</v>
      </c>
      <c r="P456" s="207">
        <v>30000</v>
      </c>
      <c r="Q456" s="227"/>
      <c r="R456" s="205" t="s">
        <v>1069</v>
      </c>
      <c r="S456" s="205">
        <v>20000</v>
      </c>
      <c r="T456" s="205">
        <f t="shared" ref="T456:T501" si="7">SUM(J456,G456,M456,P456,S456)</f>
        <v>250000</v>
      </c>
      <c r="U456" s="208"/>
    </row>
    <row r="457" spans="2:21" x14ac:dyDescent="0.3">
      <c r="B457" s="212"/>
      <c r="C457" s="213"/>
      <c r="D457" s="213"/>
      <c r="E457" s="230"/>
      <c r="F457" s="285" t="s">
        <v>1266</v>
      </c>
      <c r="G457" s="214">
        <v>100000</v>
      </c>
      <c r="H457" s="230"/>
      <c r="I457" s="252" t="s">
        <v>1311</v>
      </c>
      <c r="J457" s="215">
        <v>50000</v>
      </c>
      <c r="K457" s="230"/>
      <c r="L457" s="253" t="s">
        <v>1354</v>
      </c>
      <c r="M457" s="214">
        <v>0</v>
      </c>
      <c r="N457" s="230"/>
      <c r="O457" s="252" t="s">
        <v>1207</v>
      </c>
      <c r="P457" s="261">
        <v>100000</v>
      </c>
      <c r="Q457" s="230"/>
      <c r="R457" s="216" t="s">
        <v>1069</v>
      </c>
      <c r="S457" s="215">
        <v>20000</v>
      </c>
      <c r="T457" s="249">
        <f t="shared" si="7"/>
        <v>270000</v>
      </c>
      <c r="U457" s="217"/>
    </row>
    <row r="458" spans="2:21" x14ac:dyDescent="0.3">
      <c r="B458" s="212"/>
      <c r="C458" s="213"/>
      <c r="D458" s="213"/>
      <c r="E458" s="230"/>
      <c r="F458" s="285" t="s">
        <v>1266</v>
      </c>
      <c r="G458" s="214">
        <v>100000</v>
      </c>
      <c r="H458" s="230"/>
      <c r="I458" s="252" t="s">
        <v>1311</v>
      </c>
      <c r="J458" s="215">
        <v>50000</v>
      </c>
      <c r="K458" s="230"/>
      <c r="L458" s="253" t="s">
        <v>1354</v>
      </c>
      <c r="M458" s="214">
        <v>0</v>
      </c>
      <c r="N458" s="230"/>
      <c r="O458" s="252" t="s">
        <v>1242</v>
      </c>
      <c r="P458" s="261">
        <v>30000</v>
      </c>
      <c r="Q458" s="230"/>
      <c r="R458" s="216" t="s">
        <v>1069</v>
      </c>
      <c r="S458" s="215">
        <v>20000</v>
      </c>
      <c r="T458" s="249">
        <f t="shared" si="7"/>
        <v>200000</v>
      </c>
      <c r="U458" s="217"/>
    </row>
    <row r="459" spans="2:21" x14ac:dyDescent="0.3">
      <c r="B459" s="212"/>
      <c r="C459" s="213"/>
      <c r="D459" s="213"/>
      <c r="E459" s="230"/>
      <c r="F459" s="285" t="s">
        <v>1266</v>
      </c>
      <c r="G459" s="214">
        <v>100000</v>
      </c>
      <c r="H459" s="230"/>
      <c r="I459" s="252" t="s">
        <v>1311</v>
      </c>
      <c r="J459" s="215">
        <v>50000</v>
      </c>
      <c r="K459" s="230"/>
      <c r="L459" s="253" t="s">
        <v>1354</v>
      </c>
      <c r="M459" s="214">
        <v>0</v>
      </c>
      <c r="N459" s="230"/>
      <c r="O459" s="252" t="s">
        <v>1243</v>
      </c>
      <c r="P459" s="261">
        <v>30000</v>
      </c>
      <c r="Q459" s="230"/>
      <c r="R459" s="216" t="s">
        <v>1069</v>
      </c>
      <c r="S459" s="215">
        <v>20000</v>
      </c>
      <c r="T459" s="249">
        <f t="shared" si="7"/>
        <v>200000</v>
      </c>
      <c r="U459" s="217"/>
    </row>
    <row r="460" spans="2:21" x14ac:dyDescent="0.3">
      <c r="B460" s="227"/>
      <c r="C460" s="227"/>
      <c r="D460" s="227"/>
      <c r="E460" s="227"/>
      <c r="F460" s="206" t="s">
        <v>1284</v>
      </c>
      <c r="G460" s="205">
        <v>100000</v>
      </c>
      <c r="H460" s="227"/>
      <c r="I460" s="207" t="s">
        <v>1311</v>
      </c>
      <c r="J460" s="205">
        <v>100000</v>
      </c>
      <c r="K460" s="227"/>
      <c r="L460" s="255" t="s">
        <v>1354</v>
      </c>
      <c r="M460" s="214">
        <v>0</v>
      </c>
      <c r="N460" s="227"/>
      <c r="O460" s="207" t="s">
        <v>1207</v>
      </c>
      <c r="P460" s="207">
        <v>100000</v>
      </c>
      <c r="Q460" s="227"/>
      <c r="R460" s="205" t="s">
        <v>1069</v>
      </c>
      <c r="S460" s="209">
        <v>20000</v>
      </c>
      <c r="T460" s="205">
        <f t="shared" si="7"/>
        <v>320000</v>
      </c>
      <c r="U460" s="295"/>
    </row>
    <row r="461" spans="2:21" x14ac:dyDescent="0.3">
      <c r="B461" s="227"/>
      <c r="C461" s="227"/>
      <c r="D461" s="227"/>
      <c r="E461" s="227"/>
      <c r="F461" s="206" t="s">
        <v>1284</v>
      </c>
      <c r="G461" s="205">
        <v>100000</v>
      </c>
      <c r="H461" s="227"/>
      <c r="I461" s="207" t="s">
        <v>1311</v>
      </c>
      <c r="J461" s="205">
        <v>100000</v>
      </c>
      <c r="K461" s="227"/>
      <c r="L461" s="255" t="s">
        <v>1354</v>
      </c>
      <c r="M461" s="214">
        <v>0</v>
      </c>
      <c r="N461" s="227"/>
      <c r="O461" s="207" t="s">
        <v>1242</v>
      </c>
      <c r="P461" s="207">
        <v>30000</v>
      </c>
      <c r="Q461" s="227"/>
      <c r="R461" s="205" t="s">
        <v>1069</v>
      </c>
      <c r="S461" s="209">
        <v>20000</v>
      </c>
      <c r="T461" s="205">
        <f t="shared" si="7"/>
        <v>250000</v>
      </c>
      <c r="U461" s="295"/>
    </row>
    <row r="462" spans="2:21" x14ac:dyDescent="0.3">
      <c r="B462" s="227"/>
      <c r="C462" s="227"/>
      <c r="D462" s="227"/>
      <c r="E462" s="227"/>
      <c r="F462" s="206" t="s">
        <v>1284</v>
      </c>
      <c r="G462" s="205">
        <v>100000</v>
      </c>
      <c r="H462" s="227"/>
      <c r="I462" s="207" t="s">
        <v>1311</v>
      </c>
      <c r="J462" s="205">
        <v>100000</v>
      </c>
      <c r="K462" s="227"/>
      <c r="L462" s="255" t="s">
        <v>1354</v>
      </c>
      <c r="M462" s="214">
        <v>0</v>
      </c>
      <c r="N462" s="227"/>
      <c r="O462" s="207" t="s">
        <v>1243</v>
      </c>
      <c r="P462" s="207">
        <v>30000</v>
      </c>
      <c r="Q462" s="227"/>
      <c r="R462" s="205" t="s">
        <v>1069</v>
      </c>
      <c r="S462" s="209">
        <v>20000</v>
      </c>
      <c r="T462" s="205">
        <f t="shared" si="7"/>
        <v>250000</v>
      </c>
      <c r="U462" s="295"/>
    </row>
    <row r="463" spans="2:21" x14ac:dyDescent="0.3">
      <c r="B463" s="227"/>
      <c r="C463" s="227"/>
      <c r="D463" s="227"/>
      <c r="E463" s="227"/>
      <c r="F463" s="206" t="s">
        <v>1269</v>
      </c>
      <c r="G463" s="205">
        <v>100000</v>
      </c>
      <c r="H463" s="227"/>
      <c r="I463" s="207" t="s">
        <v>1313</v>
      </c>
      <c r="J463" s="205">
        <v>100000</v>
      </c>
      <c r="K463" s="227"/>
      <c r="L463" s="255" t="s">
        <v>1355</v>
      </c>
      <c r="M463" s="205">
        <v>0</v>
      </c>
      <c r="N463" s="227"/>
      <c r="O463" s="207" t="s">
        <v>1207</v>
      </c>
      <c r="P463" s="207">
        <v>100000</v>
      </c>
      <c r="Q463" s="227"/>
      <c r="R463" s="205" t="s">
        <v>1069</v>
      </c>
      <c r="S463" s="205">
        <v>20000</v>
      </c>
      <c r="T463" s="205">
        <f t="shared" si="7"/>
        <v>320000</v>
      </c>
      <c r="U463" s="208"/>
    </row>
    <row r="464" spans="2:21" x14ac:dyDescent="0.3">
      <c r="B464" s="227"/>
      <c r="C464" s="227"/>
      <c r="D464" s="227"/>
      <c r="E464" s="227"/>
      <c r="F464" s="204" t="s">
        <v>109</v>
      </c>
      <c r="G464" s="205">
        <v>100000</v>
      </c>
      <c r="H464" s="227"/>
      <c r="I464" s="207" t="s">
        <v>1311</v>
      </c>
      <c r="J464" s="205">
        <v>100000</v>
      </c>
      <c r="K464" s="227"/>
      <c r="L464" s="255" t="s">
        <v>1355</v>
      </c>
      <c r="M464" s="214">
        <v>0</v>
      </c>
      <c r="N464" s="227"/>
      <c r="O464" s="207" t="s">
        <v>1207</v>
      </c>
      <c r="P464" s="207">
        <v>100000</v>
      </c>
      <c r="Q464" s="227"/>
      <c r="R464" s="205" t="s">
        <v>1069</v>
      </c>
      <c r="S464" s="209">
        <v>20000</v>
      </c>
      <c r="T464" s="205">
        <f t="shared" si="7"/>
        <v>320000</v>
      </c>
      <c r="U464" s="208"/>
    </row>
    <row r="465" spans="2:21" x14ac:dyDescent="0.3">
      <c r="B465" s="227"/>
      <c r="C465" s="227"/>
      <c r="D465" s="227"/>
      <c r="E465" s="227"/>
      <c r="F465" s="204" t="s">
        <v>1351</v>
      </c>
      <c r="G465" s="205">
        <v>100000</v>
      </c>
      <c r="H465" s="227"/>
      <c r="I465" s="207" t="s">
        <v>1311</v>
      </c>
      <c r="J465" s="205">
        <v>100000</v>
      </c>
      <c r="K465" s="227"/>
      <c r="L465" s="255" t="s">
        <v>1355</v>
      </c>
      <c r="M465" s="214">
        <v>0</v>
      </c>
      <c r="N465" s="227"/>
      <c r="O465" s="207" t="s">
        <v>1207</v>
      </c>
      <c r="P465" s="207">
        <v>100000</v>
      </c>
      <c r="Q465" s="227"/>
      <c r="R465" s="205" t="s">
        <v>1069</v>
      </c>
      <c r="S465" s="209">
        <v>20000</v>
      </c>
      <c r="T465" s="205">
        <f t="shared" si="7"/>
        <v>320000</v>
      </c>
      <c r="U465" s="208"/>
    </row>
    <row r="466" spans="2:21" x14ac:dyDescent="0.3">
      <c r="B466" s="227"/>
      <c r="C466" s="227"/>
      <c r="D466" s="227"/>
      <c r="E466" s="227"/>
      <c r="F466" s="204" t="s">
        <v>112</v>
      </c>
      <c r="G466" s="205">
        <v>100000</v>
      </c>
      <c r="H466" s="227"/>
      <c r="I466" s="207" t="s">
        <v>1311</v>
      </c>
      <c r="J466" s="205">
        <v>100000</v>
      </c>
      <c r="K466" s="227"/>
      <c r="L466" s="255" t="s">
        <v>1355</v>
      </c>
      <c r="M466" s="214">
        <v>0</v>
      </c>
      <c r="N466" s="227"/>
      <c r="O466" s="207" t="s">
        <v>1207</v>
      </c>
      <c r="P466" s="207">
        <v>100000</v>
      </c>
      <c r="Q466" s="227"/>
      <c r="R466" s="205" t="s">
        <v>1069</v>
      </c>
      <c r="S466" s="209">
        <v>20000</v>
      </c>
      <c r="T466" s="205">
        <f t="shared" si="7"/>
        <v>320000</v>
      </c>
      <c r="U466" s="208"/>
    </row>
    <row r="467" spans="2:21" x14ac:dyDescent="0.3">
      <c r="B467" s="227"/>
      <c r="C467" s="227"/>
      <c r="D467" s="227"/>
      <c r="E467" s="227"/>
      <c r="F467" s="204" t="s">
        <v>116</v>
      </c>
      <c r="G467" s="205">
        <v>100000</v>
      </c>
      <c r="H467" s="227"/>
      <c r="I467" s="207" t="s">
        <v>1311</v>
      </c>
      <c r="J467" s="205">
        <v>100000</v>
      </c>
      <c r="K467" s="227"/>
      <c r="L467" s="255" t="s">
        <v>1355</v>
      </c>
      <c r="M467" s="205">
        <v>0</v>
      </c>
      <c r="N467" s="227"/>
      <c r="O467" s="207" t="s">
        <v>1207</v>
      </c>
      <c r="P467" s="207">
        <v>100000</v>
      </c>
      <c r="Q467" s="227"/>
      <c r="R467" s="205" t="s">
        <v>1069</v>
      </c>
      <c r="S467" s="205">
        <v>20000</v>
      </c>
      <c r="T467" s="205">
        <f t="shared" si="7"/>
        <v>320000</v>
      </c>
      <c r="U467" s="208"/>
    </row>
    <row r="468" spans="2:21" x14ac:dyDescent="0.3">
      <c r="B468" s="212"/>
      <c r="C468" s="213"/>
      <c r="D468" s="213"/>
      <c r="E468" s="230"/>
      <c r="F468" s="214" t="s">
        <v>155</v>
      </c>
      <c r="G468" s="214">
        <v>100000</v>
      </c>
      <c r="H468" s="230"/>
      <c r="I468" s="252" t="s">
        <v>1311</v>
      </c>
      <c r="J468" s="215">
        <v>50000</v>
      </c>
      <c r="K468" s="230"/>
      <c r="L468" s="253" t="s">
        <v>1355</v>
      </c>
      <c r="M468" s="214">
        <v>0</v>
      </c>
      <c r="N468" s="230"/>
      <c r="O468" s="252" t="s">
        <v>1207</v>
      </c>
      <c r="P468" s="261">
        <v>100000</v>
      </c>
      <c r="Q468" s="230"/>
      <c r="R468" s="216" t="s">
        <v>1069</v>
      </c>
      <c r="S468" s="215">
        <v>20000</v>
      </c>
      <c r="T468" s="249">
        <f t="shared" si="7"/>
        <v>270000</v>
      </c>
      <c r="U468" s="217"/>
    </row>
    <row r="469" spans="2:21" x14ac:dyDescent="0.3">
      <c r="B469" s="227"/>
      <c r="C469" s="227"/>
      <c r="D469" s="227"/>
      <c r="E469" s="227"/>
      <c r="F469" s="206" t="s">
        <v>1288</v>
      </c>
      <c r="G469" s="205">
        <v>100000</v>
      </c>
      <c r="H469" s="227"/>
      <c r="I469" s="207" t="s">
        <v>1311</v>
      </c>
      <c r="J469" s="205">
        <v>100000</v>
      </c>
      <c r="K469" s="227"/>
      <c r="L469" s="255" t="s">
        <v>1355</v>
      </c>
      <c r="M469" s="214">
        <v>0</v>
      </c>
      <c r="N469" s="227"/>
      <c r="O469" s="207" t="s">
        <v>1207</v>
      </c>
      <c r="P469" s="207">
        <v>100000</v>
      </c>
      <c r="Q469" s="227"/>
      <c r="R469" s="205" t="s">
        <v>1069</v>
      </c>
      <c r="S469" s="209">
        <v>20000</v>
      </c>
      <c r="T469" s="205">
        <f t="shared" si="7"/>
        <v>320000</v>
      </c>
      <c r="U469" s="208"/>
    </row>
    <row r="470" spans="2:21" x14ac:dyDescent="0.3">
      <c r="B470" s="227"/>
      <c r="C470" s="227"/>
      <c r="D470" s="227"/>
      <c r="E470" s="227"/>
      <c r="F470" s="257" t="s">
        <v>1260</v>
      </c>
      <c r="G470" s="210">
        <v>100000</v>
      </c>
      <c r="H470" s="227"/>
      <c r="I470" s="260" t="s">
        <v>1311</v>
      </c>
      <c r="J470" s="210">
        <v>100000</v>
      </c>
      <c r="K470" s="227"/>
      <c r="L470" s="256" t="s">
        <v>1355</v>
      </c>
      <c r="M470" s="258">
        <v>0</v>
      </c>
      <c r="N470" s="227"/>
      <c r="O470" s="260" t="s">
        <v>1207</v>
      </c>
      <c r="P470" s="260">
        <v>100000</v>
      </c>
      <c r="Q470" s="227"/>
      <c r="R470" s="210" t="s">
        <v>1069</v>
      </c>
      <c r="S470" s="259">
        <v>20000</v>
      </c>
      <c r="T470" s="210">
        <f t="shared" si="7"/>
        <v>320000</v>
      </c>
      <c r="U470" s="208"/>
    </row>
    <row r="471" spans="2:21" x14ac:dyDescent="0.3">
      <c r="B471" s="227"/>
      <c r="C471" s="227"/>
      <c r="D471" s="227"/>
      <c r="E471" s="227"/>
      <c r="F471" s="206" t="s">
        <v>1269</v>
      </c>
      <c r="G471" s="205">
        <v>100000</v>
      </c>
      <c r="H471" s="227"/>
      <c r="I471" s="207" t="s">
        <v>1313</v>
      </c>
      <c r="J471" s="205">
        <v>100000</v>
      </c>
      <c r="K471" s="227"/>
      <c r="L471" s="255" t="s">
        <v>1355</v>
      </c>
      <c r="M471" s="205">
        <v>0</v>
      </c>
      <c r="N471" s="227"/>
      <c r="O471" s="207" t="s">
        <v>1242</v>
      </c>
      <c r="P471" s="207">
        <v>30000</v>
      </c>
      <c r="Q471" s="227"/>
      <c r="R471" s="205" t="s">
        <v>1069</v>
      </c>
      <c r="S471" s="205">
        <v>20000</v>
      </c>
      <c r="T471" s="205">
        <f t="shared" si="7"/>
        <v>250000</v>
      </c>
      <c r="U471" s="208"/>
    </row>
    <row r="472" spans="2:21" x14ac:dyDescent="0.3">
      <c r="B472" s="227"/>
      <c r="C472" s="227"/>
      <c r="D472" s="227"/>
      <c r="E472" s="227"/>
      <c r="F472" s="206" t="s">
        <v>1269</v>
      </c>
      <c r="G472" s="205">
        <v>100000</v>
      </c>
      <c r="H472" s="227"/>
      <c r="I472" s="207" t="s">
        <v>1313</v>
      </c>
      <c r="J472" s="205">
        <v>100000</v>
      </c>
      <c r="K472" s="227"/>
      <c r="L472" s="255" t="s">
        <v>1355</v>
      </c>
      <c r="M472" s="205">
        <v>0</v>
      </c>
      <c r="N472" s="227"/>
      <c r="O472" s="207" t="s">
        <v>1242</v>
      </c>
      <c r="P472" s="207">
        <v>30000</v>
      </c>
      <c r="Q472" s="227"/>
      <c r="R472" s="205" t="s">
        <v>1069</v>
      </c>
      <c r="S472" s="205">
        <v>20000</v>
      </c>
      <c r="T472" s="205">
        <f t="shared" si="7"/>
        <v>250000</v>
      </c>
      <c r="U472" s="208"/>
    </row>
    <row r="473" spans="2:21" x14ac:dyDescent="0.3">
      <c r="B473" s="227"/>
      <c r="C473" s="227"/>
      <c r="D473" s="227"/>
      <c r="E473" s="227"/>
      <c r="F473" s="204" t="s">
        <v>109</v>
      </c>
      <c r="G473" s="205">
        <v>100000</v>
      </c>
      <c r="H473" s="227"/>
      <c r="I473" s="207" t="s">
        <v>1311</v>
      </c>
      <c r="J473" s="205">
        <v>100000</v>
      </c>
      <c r="K473" s="227"/>
      <c r="L473" s="255" t="s">
        <v>1355</v>
      </c>
      <c r="M473" s="214">
        <v>0</v>
      </c>
      <c r="N473" s="227"/>
      <c r="O473" s="207" t="s">
        <v>1242</v>
      </c>
      <c r="P473" s="207">
        <v>30000</v>
      </c>
      <c r="Q473" s="227"/>
      <c r="R473" s="205" t="s">
        <v>1069</v>
      </c>
      <c r="S473" s="209">
        <v>20000</v>
      </c>
      <c r="T473" s="205">
        <f t="shared" si="7"/>
        <v>250000</v>
      </c>
      <c r="U473" s="208"/>
    </row>
    <row r="474" spans="2:21" x14ac:dyDescent="0.3">
      <c r="B474" s="227"/>
      <c r="C474" s="227"/>
      <c r="D474" s="227"/>
      <c r="E474" s="227"/>
      <c r="F474" s="204" t="s">
        <v>1351</v>
      </c>
      <c r="G474" s="205">
        <v>100000</v>
      </c>
      <c r="H474" s="227"/>
      <c r="I474" s="207" t="s">
        <v>1311</v>
      </c>
      <c r="J474" s="205">
        <v>100000</v>
      </c>
      <c r="K474" s="227"/>
      <c r="L474" s="255" t="s">
        <v>1355</v>
      </c>
      <c r="M474" s="214">
        <v>0</v>
      </c>
      <c r="N474" s="227"/>
      <c r="O474" s="207" t="s">
        <v>1242</v>
      </c>
      <c r="P474" s="207">
        <v>30000</v>
      </c>
      <c r="Q474" s="227"/>
      <c r="R474" s="205" t="s">
        <v>1069</v>
      </c>
      <c r="S474" s="209">
        <v>20000</v>
      </c>
      <c r="T474" s="205">
        <f t="shared" si="7"/>
        <v>250000</v>
      </c>
      <c r="U474" s="208"/>
    </row>
    <row r="475" spans="2:21" x14ac:dyDescent="0.3">
      <c r="B475" s="227"/>
      <c r="C475" s="227"/>
      <c r="D475" s="227"/>
      <c r="E475" s="227"/>
      <c r="F475" s="204" t="s">
        <v>112</v>
      </c>
      <c r="G475" s="205">
        <v>100000</v>
      </c>
      <c r="H475" s="227"/>
      <c r="I475" s="207" t="s">
        <v>1311</v>
      </c>
      <c r="J475" s="205">
        <v>100000</v>
      </c>
      <c r="K475" s="227"/>
      <c r="L475" s="255" t="s">
        <v>1355</v>
      </c>
      <c r="M475" s="214">
        <v>0</v>
      </c>
      <c r="N475" s="227"/>
      <c r="O475" s="207" t="s">
        <v>1242</v>
      </c>
      <c r="P475" s="207">
        <v>30000</v>
      </c>
      <c r="Q475" s="227"/>
      <c r="R475" s="205" t="s">
        <v>1069</v>
      </c>
      <c r="S475" s="209">
        <v>20000</v>
      </c>
      <c r="T475" s="205">
        <f t="shared" si="7"/>
        <v>250000</v>
      </c>
      <c r="U475" s="208"/>
    </row>
    <row r="476" spans="2:21" x14ac:dyDescent="0.3">
      <c r="B476" s="227"/>
      <c r="C476" s="227"/>
      <c r="D476" s="227"/>
      <c r="E476" s="227"/>
      <c r="F476" s="204" t="s">
        <v>116</v>
      </c>
      <c r="G476" s="205">
        <v>100000</v>
      </c>
      <c r="H476" s="227"/>
      <c r="I476" s="207" t="s">
        <v>1311</v>
      </c>
      <c r="J476" s="205">
        <v>100000</v>
      </c>
      <c r="K476" s="227"/>
      <c r="L476" s="255" t="s">
        <v>1355</v>
      </c>
      <c r="M476" s="205">
        <v>0</v>
      </c>
      <c r="N476" s="227"/>
      <c r="O476" s="207" t="s">
        <v>1242</v>
      </c>
      <c r="P476" s="207">
        <v>30000</v>
      </c>
      <c r="Q476" s="227"/>
      <c r="R476" s="205" t="s">
        <v>1069</v>
      </c>
      <c r="S476" s="205">
        <v>20000</v>
      </c>
      <c r="T476" s="205">
        <f t="shared" si="7"/>
        <v>250000</v>
      </c>
      <c r="U476" s="208"/>
    </row>
    <row r="477" spans="2:21" x14ac:dyDescent="0.3">
      <c r="B477" s="212"/>
      <c r="C477" s="213"/>
      <c r="D477" s="213"/>
      <c r="E477" s="230"/>
      <c r="F477" s="214" t="s">
        <v>155</v>
      </c>
      <c r="G477" s="214">
        <v>100000</v>
      </c>
      <c r="H477" s="230"/>
      <c r="I477" s="252" t="s">
        <v>1311</v>
      </c>
      <c r="J477" s="215">
        <v>50000</v>
      </c>
      <c r="K477" s="230"/>
      <c r="L477" s="253" t="s">
        <v>1355</v>
      </c>
      <c r="M477" s="214">
        <v>0</v>
      </c>
      <c r="N477" s="230"/>
      <c r="O477" s="252" t="s">
        <v>1242</v>
      </c>
      <c r="P477" s="261">
        <v>30000</v>
      </c>
      <c r="Q477" s="230"/>
      <c r="R477" s="216" t="s">
        <v>1069</v>
      </c>
      <c r="S477" s="215">
        <v>20000</v>
      </c>
      <c r="T477" s="249">
        <f t="shared" si="7"/>
        <v>200000</v>
      </c>
      <c r="U477" s="217"/>
    </row>
    <row r="478" spans="2:21" x14ac:dyDescent="0.3">
      <c r="B478" s="227"/>
      <c r="C478" s="227"/>
      <c r="D478" s="227"/>
      <c r="E478" s="227"/>
      <c r="F478" s="206" t="s">
        <v>1288</v>
      </c>
      <c r="G478" s="205">
        <v>100000</v>
      </c>
      <c r="H478" s="227"/>
      <c r="I478" s="207" t="s">
        <v>1311</v>
      </c>
      <c r="J478" s="205">
        <v>100000</v>
      </c>
      <c r="K478" s="227"/>
      <c r="L478" s="255" t="s">
        <v>1355</v>
      </c>
      <c r="M478" s="214">
        <v>0</v>
      </c>
      <c r="N478" s="227"/>
      <c r="O478" s="207" t="s">
        <v>1242</v>
      </c>
      <c r="P478" s="207">
        <v>30000</v>
      </c>
      <c r="Q478" s="227"/>
      <c r="R478" s="205" t="s">
        <v>1069</v>
      </c>
      <c r="S478" s="209">
        <v>20000</v>
      </c>
      <c r="T478" s="205">
        <f t="shared" si="7"/>
        <v>250000</v>
      </c>
      <c r="U478" s="208"/>
    </row>
    <row r="479" spans="2:21" x14ac:dyDescent="0.3">
      <c r="B479" s="227"/>
      <c r="C479" s="227"/>
      <c r="D479" s="227"/>
      <c r="E479" s="227"/>
      <c r="F479" s="206" t="s">
        <v>1260</v>
      </c>
      <c r="G479" s="205">
        <v>100000</v>
      </c>
      <c r="H479" s="227"/>
      <c r="I479" s="207" t="s">
        <v>1311</v>
      </c>
      <c r="J479" s="205">
        <v>100000</v>
      </c>
      <c r="K479" s="227"/>
      <c r="L479" s="255" t="s">
        <v>1355</v>
      </c>
      <c r="M479" s="214">
        <v>0</v>
      </c>
      <c r="N479" s="227"/>
      <c r="O479" s="207" t="s">
        <v>1242</v>
      </c>
      <c r="P479" s="207">
        <v>30000</v>
      </c>
      <c r="Q479" s="227"/>
      <c r="R479" s="205" t="s">
        <v>1069</v>
      </c>
      <c r="S479" s="209">
        <v>20000</v>
      </c>
      <c r="T479" s="205">
        <f t="shared" si="7"/>
        <v>250000</v>
      </c>
      <c r="U479" s="208"/>
    </row>
    <row r="480" spans="2:21" x14ac:dyDescent="0.3">
      <c r="B480" s="227"/>
      <c r="C480" s="227"/>
      <c r="D480" s="227"/>
      <c r="E480" s="227"/>
      <c r="F480" s="206" t="s">
        <v>1269</v>
      </c>
      <c r="G480" s="205">
        <v>100000</v>
      </c>
      <c r="H480" s="227"/>
      <c r="I480" s="207" t="s">
        <v>1313</v>
      </c>
      <c r="J480" s="205">
        <v>100000</v>
      </c>
      <c r="K480" s="227"/>
      <c r="L480" s="255" t="s">
        <v>1355</v>
      </c>
      <c r="M480" s="205">
        <v>0</v>
      </c>
      <c r="N480" s="227"/>
      <c r="O480" s="207" t="s">
        <v>1243</v>
      </c>
      <c r="P480" s="207">
        <v>30000</v>
      </c>
      <c r="Q480" s="227"/>
      <c r="R480" s="205" t="s">
        <v>1069</v>
      </c>
      <c r="S480" s="205">
        <v>20000</v>
      </c>
      <c r="T480" s="205">
        <f t="shared" si="7"/>
        <v>250000</v>
      </c>
      <c r="U480" s="208"/>
    </row>
    <row r="481" spans="2:21" x14ac:dyDescent="0.3">
      <c r="B481" s="227"/>
      <c r="C481" s="227"/>
      <c r="D481" s="227"/>
      <c r="E481" s="227"/>
      <c r="F481" s="204" t="s">
        <v>109</v>
      </c>
      <c r="G481" s="205">
        <v>100000</v>
      </c>
      <c r="H481" s="227"/>
      <c r="I481" s="207" t="s">
        <v>1311</v>
      </c>
      <c r="J481" s="205">
        <v>100000</v>
      </c>
      <c r="K481" s="227"/>
      <c r="L481" s="255" t="s">
        <v>1355</v>
      </c>
      <c r="M481" s="214">
        <v>0</v>
      </c>
      <c r="N481" s="227"/>
      <c r="O481" s="207" t="s">
        <v>1243</v>
      </c>
      <c r="P481" s="207">
        <v>30000</v>
      </c>
      <c r="Q481" s="227"/>
      <c r="R481" s="205" t="s">
        <v>1069</v>
      </c>
      <c r="S481" s="209">
        <v>20000</v>
      </c>
      <c r="T481" s="205">
        <f t="shared" si="7"/>
        <v>250000</v>
      </c>
      <c r="U481" s="208"/>
    </row>
    <row r="482" spans="2:21" x14ac:dyDescent="0.3">
      <c r="B482" s="227"/>
      <c r="C482" s="227"/>
      <c r="D482" s="227"/>
      <c r="E482" s="227"/>
      <c r="F482" s="204" t="s">
        <v>1351</v>
      </c>
      <c r="G482" s="205">
        <v>100000</v>
      </c>
      <c r="H482" s="227"/>
      <c r="I482" s="207" t="s">
        <v>1311</v>
      </c>
      <c r="J482" s="205">
        <v>100000</v>
      </c>
      <c r="K482" s="227"/>
      <c r="L482" s="255" t="s">
        <v>1355</v>
      </c>
      <c r="M482" s="214">
        <v>0</v>
      </c>
      <c r="N482" s="227"/>
      <c r="O482" s="207" t="s">
        <v>1243</v>
      </c>
      <c r="P482" s="207">
        <v>30000</v>
      </c>
      <c r="Q482" s="227"/>
      <c r="R482" s="205" t="s">
        <v>1069</v>
      </c>
      <c r="S482" s="209">
        <v>20000</v>
      </c>
      <c r="T482" s="205">
        <f t="shared" si="7"/>
        <v>250000</v>
      </c>
      <c r="U482" s="208"/>
    </row>
    <row r="483" spans="2:21" x14ac:dyDescent="0.3">
      <c r="B483" s="227"/>
      <c r="C483" s="227"/>
      <c r="D483" s="227"/>
      <c r="E483" s="227"/>
      <c r="F483" s="204" t="s">
        <v>112</v>
      </c>
      <c r="G483" s="205">
        <v>100000</v>
      </c>
      <c r="H483" s="227"/>
      <c r="I483" s="207" t="s">
        <v>1311</v>
      </c>
      <c r="J483" s="205">
        <v>100000</v>
      </c>
      <c r="K483" s="227"/>
      <c r="L483" s="255" t="s">
        <v>1355</v>
      </c>
      <c r="M483" s="214">
        <v>0</v>
      </c>
      <c r="N483" s="227"/>
      <c r="O483" s="207" t="s">
        <v>1243</v>
      </c>
      <c r="P483" s="207">
        <v>30000</v>
      </c>
      <c r="Q483" s="227"/>
      <c r="R483" s="205" t="s">
        <v>1069</v>
      </c>
      <c r="S483" s="209">
        <v>20000</v>
      </c>
      <c r="T483" s="205">
        <f t="shared" si="7"/>
        <v>250000</v>
      </c>
      <c r="U483" s="208"/>
    </row>
    <row r="484" spans="2:21" x14ac:dyDescent="0.3">
      <c r="B484" s="227"/>
      <c r="C484" s="227"/>
      <c r="D484" s="227"/>
      <c r="E484" s="227"/>
      <c r="F484" s="204" t="s">
        <v>116</v>
      </c>
      <c r="G484" s="205">
        <v>100000</v>
      </c>
      <c r="H484" s="227"/>
      <c r="I484" s="207" t="s">
        <v>1311</v>
      </c>
      <c r="J484" s="205">
        <v>100000</v>
      </c>
      <c r="K484" s="227"/>
      <c r="L484" s="255" t="s">
        <v>1355</v>
      </c>
      <c r="M484" s="205">
        <v>0</v>
      </c>
      <c r="N484" s="227"/>
      <c r="O484" s="207" t="s">
        <v>1243</v>
      </c>
      <c r="P484" s="207">
        <v>30000</v>
      </c>
      <c r="Q484" s="227"/>
      <c r="R484" s="205" t="s">
        <v>1069</v>
      </c>
      <c r="S484" s="205">
        <v>20000</v>
      </c>
      <c r="T484" s="205">
        <f t="shared" si="7"/>
        <v>250000</v>
      </c>
      <c r="U484" s="208"/>
    </row>
    <row r="485" spans="2:21" x14ac:dyDescent="0.3">
      <c r="B485" s="212"/>
      <c r="C485" s="213"/>
      <c r="D485" s="213"/>
      <c r="E485" s="230"/>
      <c r="F485" s="214" t="s">
        <v>155</v>
      </c>
      <c r="G485" s="214">
        <v>100000</v>
      </c>
      <c r="H485" s="230"/>
      <c r="I485" s="252" t="s">
        <v>1311</v>
      </c>
      <c r="J485" s="215">
        <v>50000</v>
      </c>
      <c r="K485" s="230"/>
      <c r="L485" s="253" t="s">
        <v>1355</v>
      </c>
      <c r="M485" s="214">
        <v>0</v>
      </c>
      <c r="N485" s="230"/>
      <c r="O485" s="252" t="s">
        <v>1243</v>
      </c>
      <c r="P485" s="261">
        <v>30000</v>
      </c>
      <c r="Q485" s="230"/>
      <c r="R485" s="216" t="s">
        <v>1069</v>
      </c>
      <c r="S485" s="215">
        <v>20000</v>
      </c>
      <c r="T485" s="249">
        <f t="shared" si="7"/>
        <v>200000</v>
      </c>
      <c r="U485" s="217"/>
    </row>
    <row r="486" spans="2:21" x14ac:dyDescent="0.3">
      <c r="B486" s="227"/>
      <c r="C486" s="227"/>
      <c r="D486" s="227"/>
      <c r="E486" s="227"/>
      <c r="F486" s="206" t="s">
        <v>1288</v>
      </c>
      <c r="G486" s="205">
        <v>100000</v>
      </c>
      <c r="H486" s="227"/>
      <c r="I486" s="207" t="s">
        <v>1311</v>
      </c>
      <c r="J486" s="205">
        <v>100000</v>
      </c>
      <c r="K486" s="227"/>
      <c r="L486" s="255" t="s">
        <v>1355</v>
      </c>
      <c r="M486" s="214">
        <v>0</v>
      </c>
      <c r="N486" s="227"/>
      <c r="O486" s="207" t="s">
        <v>1243</v>
      </c>
      <c r="P486" s="207">
        <v>30000</v>
      </c>
      <c r="Q486" s="227"/>
      <c r="R486" s="205" t="s">
        <v>1069</v>
      </c>
      <c r="S486" s="209">
        <v>20000</v>
      </c>
      <c r="T486" s="205">
        <f t="shared" si="7"/>
        <v>250000</v>
      </c>
      <c r="U486" s="208"/>
    </row>
    <row r="487" spans="2:21" x14ac:dyDescent="0.3">
      <c r="B487" s="227"/>
      <c r="C487" s="227"/>
      <c r="D487" s="227"/>
      <c r="E487" s="227"/>
      <c r="F487" s="206" t="s">
        <v>1260</v>
      </c>
      <c r="G487" s="205">
        <v>100000</v>
      </c>
      <c r="H487" s="227"/>
      <c r="I487" s="207" t="s">
        <v>1311</v>
      </c>
      <c r="J487" s="205">
        <v>100000</v>
      </c>
      <c r="K487" s="227"/>
      <c r="L487" s="255" t="s">
        <v>1355</v>
      </c>
      <c r="M487" s="214">
        <v>0</v>
      </c>
      <c r="N487" s="227"/>
      <c r="O487" s="207" t="s">
        <v>1243</v>
      </c>
      <c r="P487" s="207">
        <v>30000</v>
      </c>
      <c r="Q487" s="227"/>
      <c r="R487" s="205" t="s">
        <v>1069</v>
      </c>
      <c r="S487" s="209">
        <v>20000</v>
      </c>
      <c r="T487" s="205">
        <f t="shared" si="7"/>
        <v>250000</v>
      </c>
      <c r="U487" s="208"/>
    </row>
    <row r="488" spans="2:21" x14ac:dyDescent="0.3">
      <c r="B488" s="227"/>
      <c r="C488" s="227"/>
      <c r="D488" s="227"/>
      <c r="E488" s="227"/>
      <c r="F488" s="206" t="s">
        <v>1257</v>
      </c>
      <c r="G488" s="205">
        <v>100000</v>
      </c>
      <c r="H488" s="227"/>
      <c r="I488" s="207" t="s">
        <v>1311</v>
      </c>
      <c r="J488" s="205">
        <v>100000</v>
      </c>
      <c r="K488" s="227"/>
      <c r="L488" s="255" t="s">
        <v>1355</v>
      </c>
      <c r="M488" s="205">
        <v>0</v>
      </c>
      <c r="N488" s="227"/>
      <c r="O488" s="207" t="s">
        <v>1207</v>
      </c>
      <c r="P488" s="207">
        <v>100000</v>
      </c>
      <c r="Q488" s="227"/>
      <c r="R488" s="205" t="s">
        <v>1069</v>
      </c>
      <c r="S488" s="205">
        <v>20000</v>
      </c>
      <c r="T488" s="205">
        <f t="shared" si="7"/>
        <v>320000</v>
      </c>
      <c r="U488" s="208"/>
    </row>
    <row r="489" spans="2:21" x14ac:dyDescent="0.3">
      <c r="B489" s="227"/>
      <c r="C489" s="227"/>
      <c r="D489" s="227"/>
      <c r="E489" s="227"/>
      <c r="F489" s="206" t="s">
        <v>1257</v>
      </c>
      <c r="G489" s="205">
        <v>100000</v>
      </c>
      <c r="H489" s="227"/>
      <c r="I489" s="207" t="s">
        <v>1311</v>
      </c>
      <c r="J489" s="205">
        <v>100000</v>
      </c>
      <c r="K489" s="227"/>
      <c r="L489" s="255" t="s">
        <v>1355</v>
      </c>
      <c r="M489" s="205">
        <v>0</v>
      </c>
      <c r="N489" s="227"/>
      <c r="O489" s="207" t="s">
        <v>1242</v>
      </c>
      <c r="P489" s="207">
        <v>30000</v>
      </c>
      <c r="Q489" s="227"/>
      <c r="R489" s="205" t="s">
        <v>1069</v>
      </c>
      <c r="S489" s="205">
        <v>20000</v>
      </c>
      <c r="T489" s="205">
        <f t="shared" si="7"/>
        <v>250000</v>
      </c>
      <c r="U489" s="208"/>
    </row>
    <row r="490" spans="2:21" x14ac:dyDescent="0.3">
      <c r="B490" s="227"/>
      <c r="C490" s="227"/>
      <c r="D490" s="227"/>
      <c r="E490" s="227"/>
      <c r="F490" s="206" t="s">
        <v>1257</v>
      </c>
      <c r="G490" s="205">
        <v>100000</v>
      </c>
      <c r="H490" s="227"/>
      <c r="I490" s="207" t="s">
        <v>1311</v>
      </c>
      <c r="J490" s="205">
        <v>100000</v>
      </c>
      <c r="K490" s="227"/>
      <c r="L490" s="255" t="s">
        <v>1355</v>
      </c>
      <c r="M490" s="205">
        <v>0</v>
      </c>
      <c r="N490" s="227"/>
      <c r="O490" s="207" t="s">
        <v>1243</v>
      </c>
      <c r="P490" s="207">
        <v>30000</v>
      </c>
      <c r="Q490" s="227"/>
      <c r="R490" s="205" t="s">
        <v>1069</v>
      </c>
      <c r="S490" s="205">
        <v>20000</v>
      </c>
      <c r="T490" s="205">
        <f t="shared" si="7"/>
        <v>250000</v>
      </c>
      <c r="U490" s="208"/>
    </row>
    <row r="491" spans="2:21" x14ac:dyDescent="0.3">
      <c r="B491" s="227"/>
      <c r="C491" s="227"/>
      <c r="D491" s="227"/>
      <c r="E491" s="227"/>
      <c r="F491" s="206" t="s">
        <v>1272</v>
      </c>
      <c r="G491" s="205">
        <v>100000</v>
      </c>
      <c r="H491" s="227"/>
      <c r="I491" s="207" t="s">
        <v>1311</v>
      </c>
      <c r="J491" s="205">
        <v>100000</v>
      </c>
      <c r="K491" s="227"/>
      <c r="L491" s="255" t="s">
        <v>1355</v>
      </c>
      <c r="M491" s="205">
        <v>0</v>
      </c>
      <c r="N491" s="227"/>
      <c r="O491" s="207" t="s">
        <v>1207</v>
      </c>
      <c r="P491" s="207">
        <v>100000</v>
      </c>
      <c r="Q491" s="227"/>
      <c r="R491" s="205" t="s">
        <v>1069</v>
      </c>
      <c r="S491" s="205">
        <v>20000</v>
      </c>
      <c r="T491" s="205">
        <f t="shared" si="7"/>
        <v>320000</v>
      </c>
      <c r="U491" s="208"/>
    </row>
    <row r="492" spans="2:21" x14ac:dyDescent="0.3">
      <c r="B492" s="227"/>
      <c r="C492" s="227"/>
      <c r="D492" s="227"/>
      <c r="E492" s="227"/>
      <c r="F492" s="206" t="s">
        <v>1272</v>
      </c>
      <c r="G492" s="205">
        <v>100000</v>
      </c>
      <c r="H492" s="227"/>
      <c r="I492" s="207" t="s">
        <v>1311</v>
      </c>
      <c r="J492" s="205">
        <v>100000</v>
      </c>
      <c r="K492" s="227"/>
      <c r="L492" s="255" t="s">
        <v>1355</v>
      </c>
      <c r="M492" s="205">
        <v>0</v>
      </c>
      <c r="N492" s="227"/>
      <c r="O492" s="207" t="s">
        <v>1242</v>
      </c>
      <c r="P492" s="207">
        <v>30000</v>
      </c>
      <c r="Q492" s="227"/>
      <c r="R492" s="205" t="s">
        <v>1069</v>
      </c>
      <c r="S492" s="205">
        <v>20000</v>
      </c>
      <c r="T492" s="205">
        <f t="shared" si="7"/>
        <v>250000</v>
      </c>
      <c r="U492" s="208"/>
    </row>
    <row r="493" spans="2:21" x14ac:dyDescent="0.3">
      <c r="B493" s="227"/>
      <c r="C493" s="227"/>
      <c r="D493" s="227"/>
      <c r="E493" s="227"/>
      <c r="F493" s="206" t="s">
        <v>1272</v>
      </c>
      <c r="G493" s="205">
        <v>100000</v>
      </c>
      <c r="H493" s="227"/>
      <c r="I493" s="207" t="s">
        <v>1311</v>
      </c>
      <c r="J493" s="205">
        <v>100000</v>
      </c>
      <c r="K493" s="227"/>
      <c r="L493" s="255" t="s">
        <v>1355</v>
      </c>
      <c r="M493" s="205">
        <v>0</v>
      </c>
      <c r="N493" s="227"/>
      <c r="O493" s="207" t="s">
        <v>1243</v>
      </c>
      <c r="P493" s="207">
        <v>30000</v>
      </c>
      <c r="Q493" s="227"/>
      <c r="R493" s="205" t="s">
        <v>1069</v>
      </c>
      <c r="S493" s="205">
        <v>20000</v>
      </c>
      <c r="T493" s="205">
        <f t="shared" si="7"/>
        <v>250000</v>
      </c>
      <c r="U493" s="208"/>
    </row>
    <row r="494" spans="2:21" x14ac:dyDescent="0.3">
      <c r="B494" s="227"/>
      <c r="C494" s="227"/>
      <c r="D494" s="227"/>
      <c r="E494" s="227"/>
      <c r="F494" s="204" t="s">
        <v>1187</v>
      </c>
      <c r="G494" s="205">
        <v>100000</v>
      </c>
      <c r="H494" s="227"/>
      <c r="I494" s="207" t="s">
        <v>1311</v>
      </c>
      <c r="J494" s="205">
        <v>100000</v>
      </c>
      <c r="K494" s="227"/>
      <c r="L494" s="255" t="s">
        <v>1355</v>
      </c>
      <c r="M494" s="205">
        <v>0</v>
      </c>
      <c r="N494" s="227"/>
      <c r="O494" s="207" t="s">
        <v>1207</v>
      </c>
      <c r="P494" s="207">
        <v>100000</v>
      </c>
      <c r="Q494" s="227"/>
      <c r="R494" s="205" t="s">
        <v>1069</v>
      </c>
      <c r="S494" s="205">
        <v>20000</v>
      </c>
      <c r="T494" s="205">
        <f t="shared" si="7"/>
        <v>320000</v>
      </c>
      <c r="U494" s="208"/>
    </row>
    <row r="495" spans="2:21" x14ac:dyDescent="0.3">
      <c r="B495" s="227"/>
      <c r="C495" s="227"/>
      <c r="D495" s="227"/>
      <c r="E495" s="227"/>
      <c r="F495" s="204" t="s">
        <v>1187</v>
      </c>
      <c r="G495" s="205">
        <v>100000</v>
      </c>
      <c r="H495" s="227"/>
      <c r="I495" s="207" t="s">
        <v>1311</v>
      </c>
      <c r="J495" s="205">
        <v>100000</v>
      </c>
      <c r="K495" s="227"/>
      <c r="L495" s="255" t="s">
        <v>1355</v>
      </c>
      <c r="M495" s="205">
        <v>0</v>
      </c>
      <c r="N495" s="227"/>
      <c r="O495" s="207" t="s">
        <v>1242</v>
      </c>
      <c r="P495" s="207">
        <v>30000</v>
      </c>
      <c r="Q495" s="227"/>
      <c r="R495" s="205" t="s">
        <v>1069</v>
      </c>
      <c r="S495" s="205">
        <v>20000</v>
      </c>
      <c r="T495" s="205">
        <f t="shared" si="7"/>
        <v>250000</v>
      </c>
      <c r="U495" s="208"/>
    </row>
    <row r="496" spans="2:21" x14ac:dyDescent="0.3">
      <c r="B496" s="227"/>
      <c r="C496" s="227"/>
      <c r="D496" s="227"/>
      <c r="E496" s="227"/>
      <c r="F496" s="204" t="s">
        <v>1187</v>
      </c>
      <c r="G496" s="205">
        <v>100000</v>
      </c>
      <c r="H496" s="227"/>
      <c r="I496" s="207" t="s">
        <v>1311</v>
      </c>
      <c r="J496" s="205">
        <v>100000</v>
      </c>
      <c r="K496" s="227"/>
      <c r="L496" s="255" t="s">
        <v>1355</v>
      </c>
      <c r="M496" s="205">
        <v>0</v>
      </c>
      <c r="N496" s="227"/>
      <c r="O496" s="207" t="s">
        <v>1243</v>
      </c>
      <c r="P496" s="207">
        <v>30000</v>
      </c>
      <c r="Q496" s="227"/>
      <c r="R496" s="205" t="s">
        <v>1069</v>
      </c>
      <c r="S496" s="205">
        <v>20000</v>
      </c>
      <c r="T496" s="205">
        <f t="shared" si="7"/>
        <v>250000</v>
      </c>
      <c r="U496" s="208"/>
    </row>
    <row r="497" spans="2:21" x14ac:dyDescent="0.3">
      <c r="B497" s="212"/>
      <c r="C497" s="213"/>
      <c r="D497" s="213"/>
      <c r="E497" s="230"/>
      <c r="F497" s="285" t="s">
        <v>1266</v>
      </c>
      <c r="G497" s="214">
        <v>100000</v>
      </c>
      <c r="H497" s="230"/>
      <c r="I497" s="252" t="s">
        <v>1311</v>
      </c>
      <c r="J497" s="215">
        <v>50000</v>
      </c>
      <c r="K497" s="230"/>
      <c r="L497" s="253" t="s">
        <v>1355</v>
      </c>
      <c r="M497" s="214">
        <v>0</v>
      </c>
      <c r="N497" s="230"/>
      <c r="O497" s="252" t="s">
        <v>1207</v>
      </c>
      <c r="P497" s="261">
        <v>100000</v>
      </c>
      <c r="Q497" s="230"/>
      <c r="R497" s="216" t="s">
        <v>1069</v>
      </c>
      <c r="S497" s="215">
        <v>20000</v>
      </c>
      <c r="T497" s="249">
        <f t="shared" si="7"/>
        <v>270000</v>
      </c>
      <c r="U497" s="217"/>
    </row>
    <row r="498" spans="2:21" x14ac:dyDescent="0.3">
      <c r="B498" s="212"/>
      <c r="C498" s="213"/>
      <c r="D498" s="213"/>
      <c r="E498" s="230"/>
      <c r="F498" s="285" t="s">
        <v>1266</v>
      </c>
      <c r="G498" s="214">
        <v>100000</v>
      </c>
      <c r="H498" s="230"/>
      <c r="I498" s="252" t="s">
        <v>1311</v>
      </c>
      <c r="J498" s="215">
        <v>50000</v>
      </c>
      <c r="K498" s="230"/>
      <c r="L498" s="253" t="s">
        <v>1355</v>
      </c>
      <c r="M498" s="214">
        <v>0</v>
      </c>
      <c r="N498" s="230"/>
      <c r="O498" s="252" t="s">
        <v>1242</v>
      </c>
      <c r="P498" s="261">
        <v>30000</v>
      </c>
      <c r="Q498" s="230"/>
      <c r="R498" s="216" t="s">
        <v>1069</v>
      </c>
      <c r="S498" s="215">
        <v>20000</v>
      </c>
      <c r="T498" s="249">
        <f t="shared" si="7"/>
        <v>200000</v>
      </c>
      <c r="U498" s="217"/>
    </row>
    <row r="499" spans="2:21" x14ac:dyDescent="0.3">
      <c r="B499" s="212"/>
      <c r="C499" s="213"/>
      <c r="D499" s="213"/>
      <c r="E499" s="230"/>
      <c r="F499" s="285" t="s">
        <v>1266</v>
      </c>
      <c r="G499" s="214">
        <v>100000</v>
      </c>
      <c r="H499" s="230"/>
      <c r="I499" s="252" t="s">
        <v>1311</v>
      </c>
      <c r="J499" s="215">
        <v>50000</v>
      </c>
      <c r="K499" s="230"/>
      <c r="L499" s="253" t="s">
        <v>1355</v>
      </c>
      <c r="M499" s="214">
        <v>0</v>
      </c>
      <c r="N499" s="230"/>
      <c r="O499" s="252" t="s">
        <v>1243</v>
      </c>
      <c r="P499" s="261">
        <v>30000</v>
      </c>
      <c r="Q499" s="230"/>
      <c r="R499" s="216" t="s">
        <v>1069</v>
      </c>
      <c r="S499" s="215">
        <v>20000</v>
      </c>
      <c r="T499" s="249">
        <f t="shared" si="7"/>
        <v>200000</v>
      </c>
      <c r="U499" s="217"/>
    </row>
    <row r="500" spans="2:21" x14ac:dyDescent="0.3">
      <c r="B500" s="227"/>
      <c r="C500" s="227"/>
      <c r="D500" s="227"/>
      <c r="E500" s="227"/>
      <c r="F500" s="206" t="s">
        <v>1284</v>
      </c>
      <c r="G500" s="205">
        <v>100000</v>
      </c>
      <c r="H500" s="227"/>
      <c r="I500" s="207" t="s">
        <v>1311</v>
      </c>
      <c r="J500" s="205">
        <v>100000</v>
      </c>
      <c r="K500" s="227"/>
      <c r="L500" s="255" t="s">
        <v>1355</v>
      </c>
      <c r="M500" s="214">
        <v>0</v>
      </c>
      <c r="N500" s="227"/>
      <c r="O500" s="207" t="s">
        <v>1207</v>
      </c>
      <c r="P500" s="207">
        <v>100000</v>
      </c>
      <c r="Q500" s="227"/>
      <c r="R500" s="205" t="s">
        <v>1069</v>
      </c>
      <c r="S500" s="209">
        <v>20000</v>
      </c>
      <c r="T500" s="205">
        <f t="shared" si="7"/>
        <v>320000</v>
      </c>
      <c r="U500" s="295"/>
    </row>
    <row r="501" spans="2:21" x14ac:dyDescent="0.3">
      <c r="B501" s="227"/>
      <c r="C501" s="227"/>
      <c r="D501" s="227"/>
      <c r="E501" s="227"/>
      <c r="F501" s="206" t="s">
        <v>1284</v>
      </c>
      <c r="G501" s="205">
        <v>100000</v>
      </c>
      <c r="H501" s="227"/>
      <c r="I501" s="207" t="s">
        <v>1311</v>
      </c>
      <c r="J501" s="205">
        <v>100000</v>
      </c>
      <c r="K501" s="227"/>
      <c r="L501" s="255" t="s">
        <v>1355</v>
      </c>
      <c r="M501" s="214">
        <v>0</v>
      </c>
      <c r="N501" s="227"/>
      <c r="O501" s="207" t="s">
        <v>1242</v>
      </c>
      <c r="P501" s="207">
        <v>30000</v>
      </c>
      <c r="Q501" s="227"/>
      <c r="R501" s="205" t="s">
        <v>1069</v>
      </c>
      <c r="S501" s="209">
        <v>20000</v>
      </c>
      <c r="T501" s="205">
        <f t="shared" si="7"/>
        <v>250000</v>
      </c>
      <c r="U501" s="295"/>
    </row>
    <row r="502" spans="2:21" x14ac:dyDescent="0.3">
      <c r="B502" s="335"/>
      <c r="C502" s="335"/>
      <c r="D502" s="335"/>
      <c r="E502" s="335"/>
      <c r="F502" s="336" t="s">
        <v>1284</v>
      </c>
      <c r="G502" s="337">
        <v>100000</v>
      </c>
      <c r="H502" s="335"/>
      <c r="I502" s="338" t="s">
        <v>1311</v>
      </c>
      <c r="J502" s="337">
        <v>100000</v>
      </c>
      <c r="K502" s="335"/>
      <c r="L502" s="339" t="s">
        <v>1355</v>
      </c>
      <c r="M502" s="340">
        <v>0</v>
      </c>
      <c r="N502" s="335"/>
      <c r="O502" s="338" t="s">
        <v>1243</v>
      </c>
      <c r="P502" s="338">
        <v>30000</v>
      </c>
      <c r="Q502" s="335"/>
      <c r="R502" s="337" t="s">
        <v>1069</v>
      </c>
      <c r="S502" s="341">
        <v>20000</v>
      </c>
      <c r="T502" s="337">
        <f t="shared" ref="T502" si="8">SUM(J502,G502,M502,P502,S502)</f>
        <v>250000</v>
      </c>
      <c r="U502" s="342"/>
    </row>
    <row r="504" spans="2:21" x14ac:dyDescent="0.3">
      <c r="B504" s="304" t="s">
        <v>1433</v>
      </c>
      <c r="C504" s="305"/>
      <c r="D504" s="305"/>
      <c r="E504" s="305"/>
      <c r="F504" s="305"/>
      <c r="G504" s="305"/>
      <c r="H504" s="305"/>
      <c r="I504" s="305"/>
      <c r="J504" s="305"/>
      <c r="K504" s="305"/>
      <c r="L504" s="305"/>
      <c r="M504" s="369"/>
      <c r="N504" s="369"/>
      <c r="O504" s="370"/>
      <c r="P504" s="370"/>
      <c r="Q504" s="369"/>
      <c r="R504" s="370"/>
      <c r="S504" s="370"/>
      <c r="T504" s="369"/>
      <c r="U504" s="370"/>
    </row>
    <row r="505" spans="2:21" x14ac:dyDescent="0.3">
      <c r="B505" s="430" t="s">
        <v>1</v>
      </c>
      <c r="C505" s="430" t="s">
        <v>2</v>
      </c>
      <c r="D505" s="430" t="s">
        <v>39</v>
      </c>
      <c r="E505" s="431" t="s">
        <v>25</v>
      </c>
      <c r="F505" s="432"/>
      <c r="G505" s="433"/>
      <c r="H505" s="431" t="s">
        <v>26</v>
      </c>
      <c r="I505" s="432"/>
      <c r="J505" s="433"/>
      <c r="K505" s="431" t="s">
        <v>92</v>
      </c>
      <c r="L505" s="432"/>
      <c r="M505" s="433"/>
      <c r="N505" s="431"/>
      <c r="O505" s="432"/>
      <c r="P505" s="433"/>
      <c r="Q505" s="431"/>
      <c r="R505" s="432"/>
      <c r="S505" s="433"/>
      <c r="T505" s="434" t="s">
        <v>1434</v>
      </c>
      <c r="U505" s="430" t="s">
        <v>5</v>
      </c>
    </row>
    <row r="506" spans="2:21" x14ac:dyDescent="0.3">
      <c r="B506" s="430"/>
      <c r="C506" s="430"/>
      <c r="D506" s="431"/>
      <c r="E506" s="353" t="s">
        <v>3</v>
      </c>
      <c r="F506" s="353" t="s">
        <v>4</v>
      </c>
      <c r="G506" s="31" t="s">
        <v>10</v>
      </c>
      <c r="H506" s="353" t="s">
        <v>3</v>
      </c>
      <c r="I506" s="353" t="s">
        <v>4</v>
      </c>
      <c r="J506" s="31" t="s">
        <v>10</v>
      </c>
      <c r="K506" s="353" t="s">
        <v>3</v>
      </c>
      <c r="L506" s="353" t="s">
        <v>4</v>
      </c>
      <c r="M506" s="31" t="s">
        <v>10</v>
      </c>
      <c r="N506" s="353" t="s">
        <v>3</v>
      </c>
      <c r="O506" s="353" t="s">
        <v>4</v>
      </c>
      <c r="P506" s="31" t="s">
        <v>10</v>
      </c>
      <c r="Q506" s="353" t="s">
        <v>3</v>
      </c>
      <c r="R506" s="353" t="s">
        <v>4</v>
      </c>
      <c r="S506" s="31" t="s">
        <v>10</v>
      </c>
      <c r="T506" s="435"/>
      <c r="U506" s="430"/>
    </row>
    <row r="507" spans="2:21" x14ac:dyDescent="0.3">
      <c r="B507" s="151" t="s">
        <v>366</v>
      </c>
      <c r="C507" s="306" t="s">
        <v>1415</v>
      </c>
      <c r="D507" s="371" t="s">
        <v>1435</v>
      </c>
      <c r="E507" s="368" t="s">
        <v>47</v>
      </c>
      <c r="F507" s="368" t="s">
        <v>689</v>
      </c>
      <c r="G507" s="179">
        <v>110000</v>
      </c>
      <c r="H507" s="368" t="s">
        <v>48</v>
      </c>
      <c r="I507" s="368" t="s">
        <v>1436</v>
      </c>
      <c r="J507" s="179">
        <v>10000</v>
      </c>
      <c r="K507" s="368" t="s">
        <v>1437</v>
      </c>
      <c r="L507" s="368" t="s">
        <v>1249</v>
      </c>
      <c r="M507" s="179">
        <v>80000</v>
      </c>
      <c r="N507" s="372"/>
      <c r="O507" s="373"/>
      <c r="P507" s="373"/>
      <c r="Q507" s="372"/>
      <c r="R507" s="373"/>
      <c r="S507" s="373"/>
      <c r="T507" s="179">
        <f t="shared" ref="T507:T520" si="9">SUM(J507,G507,M507,P507,S507)</f>
        <v>200000</v>
      </c>
      <c r="U507" s="371"/>
    </row>
    <row r="508" spans="2:21" x14ac:dyDescent="0.3">
      <c r="B508" s="151" t="s">
        <v>366</v>
      </c>
      <c r="C508" s="306" t="s">
        <v>1415</v>
      </c>
      <c r="D508" s="371" t="s">
        <v>1435</v>
      </c>
      <c r="E508" s="368" t="s">
        <v>47</v>
      </c>
      <c r="F508" s="368" t="s">
        <v>690</v>
      </c>
      <c r="G508" s="179">
        <v>110000</v>
      </c>
      <c r="H508" s="368" t="s">
        <v>48</v>
      </c>
      <c r="I508" s="368" t="s">
        <v>1438</v>
      </c>
      <c r="J508" s="179">
        <v>10000</v>
      </c>
      <c r="K508" s="368" t="s">
        <v>1437</v>
      </c>
      <c r="L508" s="368" t="s">
        <v>1249</v>
      </c>
      <c r="M508" s="179">
        <v>80000</v>
      </c>
      <c r="N508" s="372"/>
      <c r="O508" s="373"/>
      <c r="P508" s="373"/>
      <c r="Q508" s="372"/>
      <c r="R508" s="373"/>
      <c r="S508" s="373"/>
      <c r="T508" s="179">
        <f t="shared" si="9"/>
        <v>200000</v>
      </c>
      <c r="U508" s="371"/>
    </row>
    <row r="509" spans="2:21" x14ac:dyDescent="0.3">
      <c r="B509" s="151" t="s">
        <v>366</v>
      </c>
      <c r="C509" s="306" t="s">
        <v>1415</v>
      </c>
      <c r="D509" s="371" t="s">
        <v>1435</v>
      </c>
      <c r="E509" s="368" t="s">
        <v>47</v>
      </c>
      <c r="F509" s="368" t="s">
        <v>691</v>
      </c>
      <c r="G509" s="179">
        <v>110000</v>
      </c>
      <c r="H509" s="368" t="s">
        <v>48</v>
      </c>
      <c r="I509" s="368" t="s">
        <v>1439</v>
      </c>
      <c r="J509" s="179">
        <v>10000</v>
      </c>
      <c r="K509" s="368" t="s">
        <v>1437</v>
      </c>
      <c r="L509" s="368" t="s">
        <v>1249</v>
      </c>
      <c r="M509" s="179">
        <v>80000</v>
      </c>
      <c r="N509" s="372"/>
      <c r="O509" s="373"/>
      <c r="P509" s="373"/>
      <c r="Q509" s="372"/>
      <c r="R509" s="373"/>
      <c r="S509" s="373"/>
      <c r="T509" s="179">
        <f t="shared" si="9"/>
        <v>200000</v>
      </c>
      <c r="U509" s="371"/>
    </row>
    <row r="510" spans="2:21" x14ac:dyDescent="0.3">
      <c r="B510" s="151" t="s">
        <v>366</v>
      </c>
      <c r="C510" s="306" t="s">
        <v>1415</v>
      </c>
      <c r="D510" s="371" t="s">
        <v>1435</v>
      </c>
      <c r="E510" s="368" t="s">
        <v>47</v>
      </c>
      <c r="F510" s="368" t="s">
        <v>695</v>
      </c>
      <c r="G510" s="179">
        <v>110000</v>
      </c>
      <c r="H510" s="368" t="s">
        <v>48</v>
      </c>
      <c r="I510" s="368" t="s">
        <v>1084</v>
      </c>
      <c r="J510" s="179">
        <v>10000</v>
      </c>
      <c r="K510" s="368" t="s">
        <v>1437</v>
      </c>
      <c r="L510" s="368" t="s">
        <v>1249</v>
      </c>
      <c r="M510" s="179">
        <v>80000</v>
      </c>
      <c r="N510" s="372"/>
      <c r="O510" s="373"/>
      <c r="P510" s="373"/>
      <c r="Q510" s="372"/>
      <c r="R510" s="373"/>
      <c r="S510" s="373"/>
      <c r="T510" s="179">
        <f t="shared" si="9"/>
        <v>200000</v>
      </c>
      <c r="U510" s="371"/>
    </row>
    <row r="511" spans="2:21" x14ac:dyDescent="0.3">
      <c r="B511" s="151" t="s">
        <v>366</v>
      </c>
      <c r="C511" s="306" t="s">
        <v>1415</v>
      </c>
      <c r="D511" s="371" t="s">
        <v>1435</v>
      </c>
      <c r="E511" s="368" t="s">
        <v>47</v>
      </c>
      <c r="F511" s="368" t="s">
        <v>697</v>
      </c>
      <c r="G511" s="179">
        <v>110000</v>
      </c>
      <c r="H511" s="368" t="s">
        <v>48</v>
      </c>
      <c r="I511" s="368" t="s">
        <v>1085</v>
      </c>
      <c r="J511" s="179">
        <v>10000</v>
      </c>
      <c r="K511" s="368" t="s">
        <v>1437</v>
      </c>
      <c r="L511" s="368" t="s">
        <v>1249</v>
      </c>
      <c r="M511" s="179">
        <v>80000</v>
      </c>
      <c r="N511" s="372"/>
      <c r="O511" s="373"/>
      <c r="P511" s="373"/>
      <c r="Q511" s="372"/>
      <c r="R511" s="373"/>
      <c r="S511" s="373"/>
      <c r="T511" s="179">
        <f t="shared" si="9"/>
        <v>200000</v>
      </c>
      <c r="U511" s="371"/>
    </row>
    <row r="512" spans="2:21" x14ac:dyDescent="0.3">
      <c r="B512" s="151" t="s">
        <v>366</v>
      </c>
      <c r="C512" s="306" t="s">
        <v>1415</v>
      </c>
      <c r="D512" s="371" t="s">
        <v>1435</v>
      </c>
      <c r="E512" s="368" t="s">
        <v>47</v>
      </c>
      <c r="F512" s="368" t="s">
        <v>694</v>
      </c>
      <c r="G512" s="179">
        <v>110000</v>
      </c>
      <c r="H512" s="368" t="s">
        <v>48</v>
      </c>
      <c r="I512" s="368" t="s">
        <v>1440</v>
      </c>
      <c r="J512" s="179">
        <v>10000</v>
      </c>
      <c r="K512" s="368" t="s">
        <v>1437</v>
      </c>
      <c r="L512" s="368" t="s">
        <v>1249</v>
      </c>
      <c r="M512" s="179">
        <v>80000</v>
      </c>
      <c r="N512" s="372"/>
      <c r="O512" s="373"/>
      <c r="P512" s="373"/>
      <c r="Q512" s="372"/>
      <c r="R512" s="373"/>
      <c r="S512" s="373"/>
      <c r="T512" s="179">
        <f t="shared" si="9"/>
        <v>200000</v>
      </c>
      <c r="U512" s="371"/>
    </row>
    <row r="513" spans="2:21" x14ac:dyDescent="0.3">
      <c r="B513" s="151" t="s">
        <v>366</v>
      </c>
      <c r="C513" s="306" t="s">
        <v>1415</v>
      </c>
      <c r="D513" s="371" t="s">
        <v>1435</v>
      </c>
      <c r="E513" s="368" t="s">
        <v>47</v>
      </c>
      <c r="F513" s="368" t="s">
        <v>690</v>
      </c>
      <c r="G513" s="179">
        <v>110000</v>
      </c>
      <c r="H513" s="368" t="s">
        <v>48</v>
      </c>
      <c r="I513" s="368" t="s">
        <v>1441</v>
      </c>
      <c r="J513" s="179">
        <v>10000</v>
      </c>
      <c r="K513" s="368" t="s">
        <v>1437</v>
      </c>
      <c r="L513" s="368" t="s">
        <v>1249</v>
      </c>
      <c r="M513" s="179">
        <v>80000</v>
      </c>
      <c r="N513" s="372"/>
      <c r="O513" s="373"/>
      <c r="P513" s="373"/>
      <c r="Q513" s="372"/>
      <c r="R513" s="373"/>
      <c r="S513" s="373"/>
      <c r="T513" s="179">
        <f t="shared" si="9"/>
        <v>200000</v>
      </c>
      <c r="U513" s="371"/>
    </row>
    <row r="514" spans="2:21" x14ac:dyDescent="0.3">
      <c r="B514" s="151" t="s">
        <v>366</v>
      </c>
      <c r="C514" s="306" t="s">
        <v>1415</v>
      </c>
      <c r="D514" s="371" t="s">
        <v>1435</v>
      </c>
      <c r="E514" s="368" t="s">
        <v>47</v>
      </c>
      <c r="F514" s="368" t="s">
        <v>689</v>
      </c>
      <c r="G514" s="179">
        <v>110000</v>
      </c>
      <c r="H514" s="368" t="s">
        <v>48</v>
      </c>
      <c r="I514" s="368" t="s">
        <v>1436</v>
      </c>
      <c r="J514" s="179">
        <v>10000</v>
      </c>
      <c r="K514" s="368" t="s">
        <v>1437</v>
      </c>
      <c r="L514" s="368" t="s">
        <v>1248</v>
      </c>
      <c r="M514" s="179">
        <v>80000</v>
      </c>
      <c r="N514" s="372"/>
      <c r="O514" s="373"/>
      <c r="P514" s="373"/>
      <c r="Q514" s="372"/>
      <c r="R514" s="373"/>
      <c r="S514" s="373"/>
      <c r="T514" s="179">
        <f t="shared" si="9"/>
        <v>200000</v>
      </c>
      <c r="U514" s="371"/>
    </row>
    <row r="515" spans="2:21" x14ac:dyDescent="0.3">
      <c r="B515" s="151" t="s">
        <v>366</v>
      </c>
      <c r="C515" s="306" t="s">
        <v>1415</v>
      </c>
      <c r="D515" s="371" t="s">
        <v>1435</v>
      </c>
      <c r="E515" s="368" t="s">
        <v>47</v>
      </c>
      <c r="F515" s="368" t="s">
        <v>690</v>
      </c>
      <c r="G515" s="179">
        <v>110000</v>
      </c>
      <c r="H515" s="368" t="s">
        <v>48</v>
      </c>
      <c r="I515" s="368" t="s">
        <v>1438</v>
      </c>
      <c r="J515" s="179">
        <v>10000</v>
      </c>
      <c r="K515" s="368" t="s">
        <v>1437</v>
      </c>
      <c r="L515" s="368" t="s">
        <v>1248</v>
      </c>
      <c r="M515" s="179">
        <v>80000</v>
      </c>
      <c r="N515" s="372"/>
      <c r="O515" s="373"/>
      <c r="P515" s="373"/>
      <c r="Q515" s="372"/>
      <c r="R515" s="373"/>
      <c r="S515" s="373"/>
      <c r="T515" s="179">
        <f t="shared" si="9"/>
        <v>200000</v>
      </c>
      <c r="U515" s="371"/>
    </row>
    <row r="516" spans="2:21" x14ac:dyDescent="0.3">
      <c r="B516" s="151" t="s">
        <v>366</v>
      </c>
      <c r="C516" s="306" t="s">
        <v>1415</v>
      </c>
      <c r="D516" s="371" t="s">
        <v>1435</v>
      </c>
      <c r="E516" s="368" t="s">
        <v>47</v>
      </c>
      <c r="F516" s="368" t="s">
        <v>691</v>
      </c>
      <c r="G516" s="179">
        <v>110000</v>
      </c>
      <c r="H516" s="368" t="s">
        <v>48</v>
      </c>
      <c r="I516" s="368" t="s">
        <v>1439</v>
      </c>
      <c r="J516" s="179">
        <v>10000</v>
      </c>
      <c r="K516" s="368" t="s">
        <v>1437</v>
      </c>
      <c r="L516" s="368" t="s">
        <v>1248</v>
      </c>
      <c r="M516" s="179">
        <v>80000</v>
      </c>
      <c r="N516" s="372"/>
      <c r="O516" s="373"/>
      <c r="P516" s="373"/>
      <c r="Q516" s="372"/>
      <c r="R516" s="373"/>
      <c r="S516" s="373"/>
      <c r="T516" s="179">
        <f t="shared" si="9"/>
        <v>200000</v>
      </c>
      <c r="U516" s="371"/>
    </row>
    <row r="517" spans="2:21" x14ac:dyDescent="0.3">
      <c r="B517" s="151" t="s">
        <v>366</v>
      </c>
      <c r="C517" s="306" t="s">
        <v>1415</v>
      </c>
      <c r="D517" s="371" t="s">
        <v>1435</v>
      </c>
      <c r="E517" s="368" t="s">
        <v>47</v>
      </c>
      <c r="F517" s="368" t="s">
        <v>695</v>
      </c>
      <c r="G517" s="179">
        <v>110000</v>
      </c>
      <c r="H517" s="368" t="s">
        <v>48</v>
      </c>
      <c r="I517" s="368" t="s">
        <v>1084</v>
      </c>
      <c r="J517" s="179">
        <v>10000</v>
      </c>
      <c r="K517" s="368" t="s">
        <v>1437</v>
      </c>
      <c r="L517" s="368" t="s">
        <v>1248</v>
      </c>
      <c r="M517" s="179">
        <v>80000</v>
      </c>
      <c r="N517" s="372"/>
      <c r="O517" s="373"/>
      <c r="P517" s="373"/>
      <c r="Q517" s="372"/>
      <c r="R517" s="373"/>
      <c r="S517" s="373"/>
      <c r="T517" s="179">
        <f>SUM(J517,G517,M517,P517,S517)</f>
        <v>200000</v>
      </c>
      <c r="U517" s="371"/>
    </row>
    <row r="518" spans="2:21" x14ac:dyDescent="0.3">
      <c r="B518" s="151" t="s">
        <v>366</v>
      </c>
      <c r="C518" s="306" t="s">
        <v>1415</v>
      </c>
      <c r="D518" s="371" t="s">
        <v>1435</v>
      </c>
      <c r="E518" s="368" t="s">
        <v>47</v>
      </c>
      <c r="F518" s="368" t="s">
        <v>697</v>
      </c>
      <c r="G518" s="179">
        <v>110000</v>
      </c>
      <c r="H518" s="368" t="s">
        <v>48</v>
      </c>
      <c r="I518" s="368" t="s">
        <v>1085</v>
      </c>
      <c r="J518" s="179">
        <v>10000</v>
      </c>
      <c r="K518" s="368" t="s">
        <v>1437</v>
      </c>
      <c r="L518" s="368" t="s">
        <v>1248</v>
      </c>
      <c r="M518" s="179">
        <v>80000</v>
      </c>
      <c r="N518" s="372"/>
      <c r="O518" s="373"/>
      <c r="P518" s="373"/>
      <c r="Q518" s="372"/>
      <c r="R518" s="373"/>
      <c r="S518" s="373"/>
      <c r="T518" s="179">
        <f t="shared" si="9"/>
        <v>200000</v>
      </c>
      <c r="U518" s="371"/>
    </row>
    <row r="519" spans="2:21" x14ac:dyDescent="0.3">
      <c r="B519" s="151" t="s">
        <v>366</v>
      </c>
      <c r="C519" s="306" t="s">
        <v>1415</v>
      </c>
      <c r="D519" s="371" t="s">
        <v>1435</v>
      </c>
      <c r="E519" s="368" t="s">
        <v>47</v>
      </c>
      <c r="F519" s="368" t="s">
        <v>694</v>
      </c>
      <c r="G519" s="179">
        <v>110000</v>
      </c>
      <c r="H519" s="368" t="s">
        <v>48</v>
      </c>
      <c r="I519" s="368" t="s">
        <v>1440</v>
      </c>
      <c r="J519" s="179">
        <v>10000</v>
      </c>
      <c r="K519" s="368" t="s">
        <v>1437</v>
      </c>
      <c r="L519" s="368" t="s">
        <v>1248</v>
      </c>
      <c r="M519" s="179">
        <v>80000</v>
      </c>
      <c r="N519" s="372"/>
      <c r="O519" s="373"/>
      <c r="P519" s="373"/>
      <c r="Q519" s="372"/>
      <c r="R519" s="373"/>
      <c r="S519" s="373"/>
      <c r="T519" s="179">
        <f t="shared" si="9"/>
        <v>200000</v>
      </c>
      <c r="U519" s="371"/>
    </row>
    <row r="520" spans="2:21" x14ac:dyDescent="0.3">
      <c r="B520" s="151" t="s">
        <v>366</v>
      </c>
      <c r="C520" s="307" t="s">
        <v>1415</v>
      </c>
      <c r="D520" s="371" t="s">
        <v>1435</v>
      </c>
      <c r="E520" s="368" t="s">
        <v>47</v>
      </c>
      <c r="F520" s="368" t="s">
        <v>690</v>
      </c>
      <c r="G520" s="179">
        <v>110000</v>
      </c>
      <c r="H520" s="368" t="s">
        <v>48</v>
      </c>
      <c r="I520" s="368" t="s">
        <v>1441</v>
      </c>
      <c r="J520" s="179">
        <v>10000</v>
      </c>
      <c r="K520" s="368" t="s">
        <v>1437</v>
      </c>
      <c r="L520" s="368" t="s">
        <v>1248</v>
      </c>
      <c r="M520" s="179">
        <v>80000</v>
      </c>
      <c r="N520" s="372"/>
      <c r="O520" s="373"/>
      <c r="P520" s="373"/>
      <c r="Q520" s="372"/>
      <c r="R520" s="373"/>
      <c r="S520" s="373"/>
      <c r="T520" s="179">
        <f t="shared" si="9"/>
        <v>200000</v>
      </c>
      <c r="U520" s="371"/>
    </row>
  </sheetData>
  <mergeCells count="14">
    <mergeCell ref="U6:U7"/>
    <mergeCell ref="B6:B7"/>
    <mergeCell ref="C6:C7"/>
    <mergeCell ref="D6:D7"/>
    <mergeCell ref="B505:B506"/>
    <mergeCell ref="C505:C506"/>
    <mergeCell ref="D505:D506"/>
    <mergeCell ref="E505:G505"/>
    <mergeCell ref="H505:J505"/>
    <mergeCell ref="K505:M505"/>
    <mergeCell ref="N505:P505"/>
    <mergeCell ref="Q505:S505"/>
    <mergeCell ref="T505:T506"/>
    <mergeCell ref="U505:U506"/>
  </mergeCells>
  <phoneticPr fontId="2" type="noConversion"/>
  <conditionalFormatting sqref="M2:M4">
    <cfRule type="duplicateValues" dxfId="70" priority="2"/>
  </conditionalFormatting>
  <conditionalFormatting sqref="M2:N4">
    <cfRule type="duplicateValues" dxfId="69" priority="4"/>
  </conditionalFormatting>
  <conditionalFormatting sqref="N2:N4">
    <cfRule type="duplicateValues" dxfId="68" priority="3"/>
  </conditionalFormatting>
  <conditionalFormatting sqref="V1:V1048576">
    <cfRule type="duplicateValues" dxfId="67" priority="1"/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B2:R96"/>
  <sheetViews>
    <sheetView showGridLines="0"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35" sqref="G35"/>
    </sheetView>
  </sheetViews>
  <sheetFormatPr defaultColWidth="9" defaultRowHeight="18.600000000000001" customHeight="1" x14ac:dyDescent="0.3"/>
  <cols>
    <col min="1" max="1" width="3.875" style="1" customWidth="1"/>
    <col min="2" max="2" width="13.125" style="2" customWidth="1"/>
    <col min="3" max="3" width="16.625" style="1" customWidth="1"/>
    <col min="4" max="4" width="32" style="1" customWidth="1"/>
    <col min="5" max="5" width="18.875" style="2" customWidth="1"/>
    <col min="6" max="6" width="20.875" style="2" bestFit="1" customWidth="1"/>
    <col min="7" max="7" width="16.375" style="44" bestFit="1" customWidth="1"/>
    <col min="8" max="8" width="22.5" style="2" bestFit="1" customWidth="1"/>
    <col min="9" max="9" width="28" style="2" customWidth="1"/>
    <col min="10" max="10" width="10.25" style="44" bestFit="1" customWidth="1"/>
    <col min="11" max="11" width="20.625" style="44" customWidth="1"/>
    <col min="12" max="12" width="33.75" style="1" bestFit="1" customWidth="1"/>
    <col min="13" max="13" width="19.25" style="1" bestFit="1" customWidth="1"/>
    <col min="14" max="14" width="24.25" style="1" customWidth="1"/>
    <col min="15" max="15" width="20.5" style="1" bestFit="1" customWidth="1"/>
    <col min="16" max="16" width="10.25" style="1" customWidth="1"/>
    <col min="17" max="17" width="9" style="1"/>
    <col min="18" max="18" width="10.5" style="1" bestFit="1" customWidth="1"/>
    <col min="19" max="20" width="9" style="1"/>
    <col min="21" max="21" width="10.5" style="1" bestFit="1" customWidth="1"/>
    <col min="22" max="23" width="9" style="1"/>
    <col min="24" max="24" width="10.5" style="1" bestFit="1" customWidth="1"/>
    <col min="25" max="16384" width="9" style="1"/>
  </cols>
  <sheetData>
    <row r="2" spans="2:18" ht="33" customHeight="1" x14ac:dyDescent="0.3">
      <c r="B2" s="11" t="s">
        <v>60</v>
      </c>
      <c r="I2" s="45" t="s">
        <v>0</v>
      </c>
    </row>
    <row r="4" spans="2:18" ht="18.600000000000001" customHeight="1" x14ac:dyDescent="0.3">
      <c r="B4" s="53"/>
      <c r="C4" s="26"/>
      <c r="D4" s="26"/>
      <c r="E4" s="53"/>
      <c r="F4" s="53"/>
      <c r="G4" s="131"/>
      <c r="H4" s="53"/>
      <c r="I4" s="53"/>
      <c r="J4" s="131"/>
      <c r="K4" s="131"/>
      <c r="L4" s="26"/>
    </row>
    <row r="5" spans="2:18" ht="18" customHeight="1" x14ac:dyDescent="0.3">
      <c r="B5" s="99" t="s">
        <v>1406</v>
      </c>
      <c r="C5" s="99"/>
      <c r="D5" s="99"/>
      <c r="E5" s="100"/>
      <c r="F5" s="100"/>
      <c r="G5" s="100"/>
      <c r="H5" s="100"/>
      <c r="I5" s="100"/>
      <c r="J5" s="100"/>
      <c r="K5" s="100"/>
      <c r="L5" s="100"/>
    </row>
    <row r="6" spans="2:18" ht="16.5" x14ac:dyDescent="0.3">
      <c r="B6" s="437" t="s">
        <v>70</v>
      </c>
      <c r="C6" s="437" t="s">
        <v>71</v>
      </c>
      <c r="D6" s="437" t="s">
        <v>72</v>
      </c>
      <c r="E6" s="437" t="s">
        <v>73</v>
      </c>
      <c r="F6" s="437"/>
      <c r="G6" s="437"/>
      <c r="H6" s="437" t="s">
        <v>74</v>
      </c>
      <c r="I6" s="437"/>
      <c r="J6" s="438"/>
      <c r="K6" s="439" t="s">
        <v>154</v>
      </c>
      <c r="L6" s="436" t="s">
        <v>75</v>
      </c>
    </row>
    <row r="7" spans="2:18" ht="16.5" x14ac:dyDescent="0.3">
      <c r="B7" s="437"/>
      <c r="C7" s="437"/>
      <c r="D7" s="437"/>
      <c r="E7" s="363" t="s">
        <v>23</v>
      </c>
      <c r="F7" s="101" t="s">
        <v>20</v>
      </c>
      <c r="G7" s="101" t="s">
        <v>22</v>
      </c>
      <c r="H7" s="363" t="s">
        <v>23</v>
      </c>
      <c r="I7" s="363" t="s">
        <v>20</v>
      </c>
      <c r="J7" s="364" t="s">
        <v>22</v>
      </c>
      <c r="K7" s="440"/>
      <c r="L7" s="436"/>
    </row>
    <row r="8" spans="2:18" ht="16.5" x14ac:dyDescent="0.3">
      <c r="B8" s="101" t="s">
        <v>106</v>
      </c>
      <c r="C8" s="161" t="s">
        <v>1415</v>
      </c>
      <c r="D8" s="365" t="s">
        <v>1157</v>
      </c>
      <c r="E8" s="363" t="s">
        <v>160</v>
      </c>
      <c r="F8" s="64" t="s">
        <v>370</v>
      </c>
      <c r="G8" s="24">
        <v>200000</v>
      </c>
      <c r="H8" s="363" t="s">
        <v>107</v>
      </c>
      <c r="I8" s="64" t="s">
        <v>1158</v>
      </c>
      <c r="J8" s="361">
        <v>100000</v>
      </c>
      <c r="K8" s="111">
        <f>G8+J8</f>
        <v>300000</v>
      </c>
      <c r="L8" s="132"/>
    </row>
    <row r="9" spans="2:18" ht="16.5" x14ac:dyDescent="0.3">
      <c r="B9" s="102"/>
      <c r="C9" s="83"/>
      <c r="D9" s="366"/>
      <c r="E9" s="363" t="s">
        <v>160</v>
      </c>
      <c r="F9" s="64" t="s">
        <v>1156</v>
      </c>
      <c r="G9" s="24">
        <v>200000</v>
      </c>
      <c r="H9" s="363" t="s">
        <v>107</v>
      </c>
      <c r="I9" s="64" t="s">
        <v>1158</v>
      </c>
      <c r="J9" s="361">
        <v>100000</v>
      </c>
      <c r="K9" s="111">
        <f>G9+J9</f>
        <v>300000</v>
      </c>
      <c r="L9" s="132"/>
    </row>
    <row r="10" spans="2:18" ht="16.5" x14ac:dyDescent="0.3">
      <c r="B10" s="133"/>
      <c r="C10" s="90"/>
      <c r="D10" s="134"/>
      <c r="E10" s="363" t="s">
        <v>160</v>
      </c>
      <c r="F10" s="140" t="s">
        <v>1176</v>
      </c>
      <c r="G10" s="24">
        <v>200000</v>
      </c>
      <c r="H10" s="363" t="s">
        <v>107</v>
      </c>
      <c r="I10" s="140" t="s">
        <v>1177</v>
      </c>
      <c r="J10" s="361">
        <v>19000</v>
      </c>
      <c r="K10" s="111">
        <f>G10+J10</f>
        <v>219000</v>
      </c>
      <c r="L10" s="362"/>
    </row>
    <row r="11" spans="2:18" ht="18.600000000000001" customHeight="1" x14ac:dyDescent="0.3">
      <c r="B11" s="53"/>
      <c r="C11" s="26"/>
      <c r="D11" s="26"/>
      <c r="E11" s="53"/>
      <c r="F11" s="53"/>
      <c r="G11" s="131"/>
      <c r="H11" s="53"/>
      <c r="I11" s="53"/>
      <c r="J11" s="131"/>
      <c r="K11" s="131"/>
      <c r="L11" s="26"/>
    </row>
    <row r="12" spans="2:18" s="5" customFormat="1" ht="18.600000000000001" customHeight="1" x14ac:dyDescent="0.3">
      <c r="B12" s="93" t="s">
        <v>1407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78"/>
      <c r="N12" s="78"/>
      <c r="O12" s="78"/>
      <c r="P12" s="78"/>
      <c r="Q12" s="78"/>
      <c r="R12" s="78"/>
    </row>
    <row r="13" spans="2:18" s="5" customFormat="1" ht="18.600000000000001" customHeight="1" x14ac:dyDescent="0.3">
      <c r="B13" s="405" t="s">
        <v>70</v>
      </c>
      <c r="C13" s="405" t="s">
        <v>71</v>
      </c>
      <c r="D13" s="405" t="s">
        <v>72</v>
      </c>
      <c r="E13" s="407"/>
      <c r="F13" s="408"/>
      <c r="G13" s="409"/>
      <c r="H13" s="407"/>
      <c r="I13" s="408"/>
      <c r="J13" s="408"/>
      <c r="K13" s="410" t="s">
        <v>77</v>
      </c>
      <c r="L13" s="418" t="s">
        <v>75</v>
      </c>
      <c r="M13" s="78"/>
      <c r="N13" s="78"/>
      <c r="O13" s="78"/>
      <c r="P13" s="78"/>
      <c r="Q13" s="78"/>
      <c r="R13" s="78"/>
    </row>
    <row r="14" spans="2:18" s="5" customFormat="1" ht="18" customHeight="1" x14ac:dyDescent="0.3">
      <c r="B14" s="406"/>
      <c r="C14" s="406"/>
      <c r="D14" s="406"/>
      <c r="E14" s="43" t="s">
        <v>23</v>
      </c>
      <c r="F14" s="43" t="s">
        <v>20</v>
      </c>
      <c r="G14" s="43" t="s">
        <v>19</v>
      </c>
      <c r="H14" s="43" t="s">
        <v>23</v>
      </c>
      <c r="I14" s="43" t="s">
        <v>20</v>
      </c>
      <c r="J14" s="271" t="s">
        <v>19</v>
      </c>
      <c r="K14" s="417"/>
      <c r="L14" s="419"/>
      <c r="M14" s="78"/>
      <c r="N14" s="78"/>
      <c r="O14" s="78"/>
      <c r="P14" s="78"/>
      <c r="Q14" s="78"/>
      <c r="R14" s="78"/>
    </row>
    <row r="15" spans="2:18" s="5" customFormat="1" ht="18" customHeight="1" x14ac:dyDescent="0.3">
      <c r="B15" s="269" t="s">
        <v>163</v>
      </c>
      <c r="C15" s="161" t="s">
        <v>1415</v>
      </c>
      <c r="D15" s="273" t="s">
        <v>172</v>
      </c>
      <c r="E15" s="269" t="s">
        <v>173</v>
      </c>
      <c r="F15" s="42" t="s">
        <v>1137</v>
      </c>
      <c r="G15" s="109">
        <v>5000</v>
      </c>
      <c r="H15" s="269" t="s">
        <v>174</v>
      </c>
      <c r="I15" s="42" t="s">
        <v>1138</v>
      </c>
      <c r="J15" s="135">
        <v>0</v>
      </c>
      <c r="K15" s="103">
        <f t="shared" ref="K15:K36" si="0">G15+J15</f>
        <v>5000</v>
      </c>
      <c r="L15" s="272"/>
      <c r="M15" s="78"/>
      <c r="N15" s="78"/>
      <c r="O15" s="78"/>
      <c r="P15" s="78"/>
      <c r="Q15" s="78"/>
      <c r="R15" s="78"/>
    </row>
    <row r="16" spans="2:18" s="5" customFormat="1" ht="18.600000000000001" customHeight="1" x14ac:dyDescent="0.3">
      <c r="B16" s="84"/>
      <c r="C16" s="95"/>
      <c r="D16" s="96"/>
      <c r="E16" s="82"/>
      <c r="F16" s="42" t="s">
        <v>1139</v>
      </c>
      <c r="G16" s="109">
        <v>5000</v>
      </c>
      <c r="H16" s="82"/>
      <c r="I16" s="42" t="s">
        <v>1140</v>
      </c>
      <c r="J16" s="135">
        <v>0</v>
      </c>
      <c r="K16" s="103">
        <f t="shared" si="0"/>
        <v>5000</v>
      </c>
      <c r="L16" s="272"/>
      <c r="M16" s="78"/>
      <c r="N16" s="78"/>
      <c r="O16" s="78"/>
      <c r="P16" s="78"/>
      <c r="Q16" s="78"/>
      <c r="R16" s="78"/>
    </row>
    <row r="17" spans="2:18" s="5" customFormat="1" ht="18.600000000000001" customHeight="1" x14ac:dyDescent="0.3">
      <c r="B17" s="84"/>
      <c r="C17" s="95"/>
      <c r="D17" s="96"/>
      <c r="E17" s="82"/>
      <c r="F17" s="42" t="s">
        <v>1141</v>
      </c>
      <c r="G17" s="109">
        <v>5000</v>
      </c>
      <c r="H17" s="82"/>
      <c r="I17" s="42" t="s">
        <v>1138</v>
      </c>
      <c r="J17" s="135">
        <v>0</v>
      </c>
      <c r="K17" s="103">
        <f t="shared" si="0"/>
        <v>5000</v>
      </c>
      <c r="L17" s="272"/>
      <c r="M17" s="78"/>
      <c r="N17" s="78"/>
      <c r="O17" s="78"/>
      <c r="P17" s="78"/>
      <c r="Q17" s="78"/>
      <c r="R17" s="78"/>
    </row>
    <row r="18" spans="2:18" s="5" customFormat="1" ht="18.600000000000001" customHeight="1" x14ac:dyDescent="0.3">
      <c r="B18" s="84"/>
      <c r="C18" s="95"/>
      <c r="D18" s="96"/>
      <c r="E18" s="82"/>
      <c r="F18" s="42" t="s">
        <v>1142</v>
      </c>
      <c r="G18" s="109">
        <v>5000</v>
      </c>
      <c r="H18" s="82"/>
      <c r="I18" s="42" t="s">
        <v>1140</v>
      </c>
      <c r="J18" s="135">
        <v>0</v>
      </c>
      <c r="K18" s="103">
        <f t="shared" si="0"/>
        <v>5000</v>
      </c>
      <c r="L18" s="272"/>
      <c r="M18" s="78"/>
      <c r="N18" s="78"/>
      <c r="O18" s="78"/>
      <c r="P18" s="78"/>
      <c r="Q18" s="78"/>
      <c r="R18" s="78"/>
    </row>
    <row r="19" spans="2:18" s="5" customFormat="1" ht="18.600000000000001" customHeight="1" x14ac:dyDescent="0.3">
      <c r="B19" s="84"/>
      <c r="C19" s="95"/>
      <c r="D19" s="96"/>
      <c r="E19" s="82"/>
      <c r="F19" s="145" t="s">
        <v>1178</v>
      </c>
      <c r="G19" s="109">
        <v>5000</v>
      </c>
      <c r="H19" s="82"/>
      <c r="I19" s="145" t="s">
        <v>1138</v>
      </c>
      <c r="J19" s="135">
        <v>0</v>
      </c>
      <c r="K19" s="103">
        <f t="shared" si="0"/>
        <v>5000</v>
      </c>
      <c r="L19" s="272"/>
      <c r="M19" s="78"/>
      <c r="N19" s="78"/>
      <c r="O19" s="78"/>
      <c r="P19" s="78"/>
      <c r="Q19" s="78"/>
      <c r="R19" s="78"/>
    </row>
    <row r="20" spans="2:18" s="5" customFormat="1" ht="18.600000000000001" customHeight="1" x14ac:dyDescent="0.3">
      <c r="B20" s="84"/>
      <c r="C20" s="95"/>
      <c r="D20" s="96"/>
      <c r="E20" s="82"/>
      <c r="F20" s="145" t="s">
        <v>1179</v>
      </c>
      <c r="G20" s="109">
        <v>5000</v>
      </c>
      <c r="H20" s="82"/>
      <c r="I20" s="145" t="s">
        <v>1140</v>
      </c>
      <c r="J20" s="135">
        <v>0</v>
      </c>
      <c r="K20" s="103">
        <f t="shared" si="0"/>
        <v>5000</v>
      </c>
      <c r="L20" s="272"/>
      <c r="M20" s="78"/>
      <c r="N20" s="78"/>
      <c r="O20" s="78"/>
      <c r="P20" s="78"/>
      <c r="Q20" s="78"/>
      <c r="R20" s="78"/>
    </row>
    <row r="21" spans="2:18" s="5" customFormat="1" ht="18.600000000000001" customHeight="1" x14ac:dyDescent="0.3">
      <c r="B21" s="84"/>
      <c r="C21" s="95"/>
      <c r="D21" s="96"/>
      <c r="E21" s="82"/>
      <c r="F21" s="145" t="s">
        <v>152</v>
      </c>
      <c r="G21" s="109">
        <v>5000</v>
      </c>
      <c r="H21" s="82"/>
      <c r="I21" s="145" t="s">
        <v>1143</v>
      </c>
      <c r="J21" s="135">
        <v>0</v>
      </c>
      <c r="K21" s="103">
        <f t="shared" si="0"/>
        <v>5000</v>
      </c>
      <c r="L21" s="272"/>
      <c r="M21" s="78"/>
      <c r="N21" s="78"/>
      <c r="O21" s="78"/>
      <c r="P21" s="78"/>
      <c r="Q21" s="78"/>
      <c r="R21" s="78"/>
    </row>
    <row r="22" spans="2:18" s="5" customFormat="1" ht="18.600000000000001" customHeight="1" x14ac:dyDescent="0.3">
      <c r="B22" s="84"/>
      <c r="C22" s="95"/>
      <c r="D22" s="96"/>
      <c r="E22" s="82"/>
      <c r="F22" s="145" t="s">
        <v>153</v>
      </c>
      <c r="G22" s="109">
        <v>5000</v>
      </c>
      <c r="H22" s="82"/>
      <c r="I22" s="145" t="s">
        <v>1144</v>
      </c>
      <c r="J22" s="135">
        <v>0</v>
      </c>
      <c r="K22" s="103">
        <f t="shared" si="0"/>
        <v>5000</v>
      </c>
      <c r="L22" s="272"/>
      <c r="M22" s="78"/>
      <c r="N22" s="78"/>
      <c r="O22" s="78"/>
      <c r="P22" s="78"/>
      <c r="Q22" s="78"/>
      <c r="R22" s="78"/>
    </row>
    <row r="23" spans="2:18" s="5" customFormat="1" ht="18.600000000000001" customHeight="1" x14ac:dyDescent="0.3">
      <c r="B23" s="84"/>
      <c r="C23" s="95"/>
      <c r="D23" s="96"/>
      <c r="E23" s="82"/>
      <c r="F23" s="42" t="s">
        <v>1145</v>
      </c>
      <c r="G23" s="109">
        <v>5000</v>
      </c>
      <c r="H23" s="82"/>
      <c r="I23" s="42" t="s">
        <v>1138</v>
      </c>
      <c r="J23" s="135">
        <v>0</v>
      </c>
      <c r="K23" s="103">
        <f t="shared" si="0"/>
        <v>5000</v>
      </c>
      <c r="L23" s="272"/>
      <c r="M23" s="78"/>
      <c r="N23" s="78"/>
      <c r="O23" s="78"/>
      <c r="P23" s="78"/>
      <c r="Q23" s="78"/>
      <c r="R23" s="78"/>
    </row>
    <row r="24" spans="2:18" s="5" customFormat="1" ht="18.600000000000001" customHeight="1" x14ac:dyDescent="0.3">
      <c r="B24" s="84"/>
      <c r="C24" s="95"/>
      <c r="D24" s="96"/>
      <c r="E24" s="82"/>
      <c r="F24" s="42" t="s">
        <v>1147</v>
      </c>
      <c r="G24" s="109">
        <v>5000</v>
      </c>
      <c r="H24" s="82"/>
      <c r="I24" s="42" t="s">
        <v>1148</v>
      </c>
      <c r="J24" s="135">
        <v>0</v>
      </c>
      <c r="K24" s="103">
        <f t="shared" si="0"/>
        <v>5000</v>
      </c>
      <c r="L24" s="272"/>
      <c r="M24" s="78"/>
      <c r="N24" s="78"/>
      <c r="O24" s="78"/>
      <c r="P24" s="78"/>
      <c r="Q24" s="78"/>
      <c r="R24" s="78"/>
    </row>
    <row r="25" spans="2:18" s="5" customFormat="1" ht="18.600000000000001" customHeight="1" x14ac:dyDescent="0.3">
      <c r="B25" s="84"/>
      <c r="C25" s="95"/>
      <c r="D25" s="96"/>
      <c r="E25" s="82"/>
      <c r="F25" s="42" t="s">
        <v>1146</v>
      </c>
      <c r="G25" s="109">
        <v>5000</v>
      </c>
      <c r="H25" s="82"/>
      <c r="I25" s="42" t="s">
        <v>1140</v>
      </c>
      <c r="J25" s="135">
        <v>0</v>
      </c>
      <c r="K25" s="103">
        <f t="shared" si="0"/>
        <v>5000</v>
      </c>
      <c r="L25" s="272"/>
      <c r="M25" s="78"/>
      <c r="N25" s="78"/>
      <c r="O25" s="78"/>
      <c r="P25" s="78"/>
      <c r="Q25" s="78"/>
      <c r="R25" s="78"/>
    </row>
    <row r="26" spans="2:18" s="5" customFormat="1" ht="18.600000000000001" customHeight="1" x14ac:dyDescent="0.3">
      <c r="B26" s="84"/>
      <c r="C26" s="95"/>
      <c r="D26" s="96"/>
      <c r="E26" s="82"/>
      <c r="F26" s="42" t="s">
        <v>1146</v>
      </c>
      <c r="G26" s="109">
        <v>5000</v>
      </c>
      <c r="H26" s="82"/>
      <c r="I26" s="121" t="s">
        <v>1149</v>
      </c>
      <c r="J26" s="135">
        <v>0</v>
      </c>
      <c r="K26" s="103">
        <f t="shared" si="0"/>
        <v>5000</v>
      </c>
      <c r="L26" s="272"/>
      <c r="M26" s="78"/>
      <c r="N26" s="78"/>
      <c r="O26" s="78"/>
      <c r="P26" s="78"/>
      <c r="Q26" s="78"/>
      <c r="R26" s="78"/>
    </row>
    <row r="27" spans="2:18" s="5" customFormat="1" ht="18.600000000000001" customHeight="1" x14ac:dyDescent="0.3">
      <c r="B27" s="84"/>
      <c r="C27" s="95"/>
      <c r="D27" s="96"/>
      <c r="E27" s="82"/>
      <c r="F27" s="42" t="s">
        <v>380</v>
      </c>
      <c r="G27" s="109">
        <v>5000</v>
      </c>
      <c r="H27" s="82"/>
      <c r="I27" s="42" t="s">
        <v>1138</v>
      </c>
      <c r="J27" s="135">
        <v>0</v>
      </c>
      <c r="K27" s="103">
        <f t="shared" si="0"/>
        <v>5000</v>
      </c>
      <c r="L27" s="272"/>
      <c r="M27" s="78"/>
      <c r="N27" s="78"/>
      <c r="O27" s="78"/>
      <c r="P27" s="78"/>
      <c r="Q27" s="78"/>
      <c r="R27" s="78"/>
    </row>
    <row r="28" spans="2:18" s="5" customFormat="1" ht="18.600000000000001" customHeight="1" x14ac:dyDescent="0.3">
      <c r="B28" s="84"/>
      <c r="C28" s="95"/>
      <c r="D28" s="96"/>
      <c r="E28" s="82"/>
      <c r="F28" s="42" t="s">
        <v>380</v>
      </c>
      <c r="G28" s="109">
        <v>5000</v>
      </c>
      <c r="H28" s="82"/>
      <c r="I28" s="122" t="s">
        <v>1150</v>
      </c>
      <c r="J28" s="135">
        <v>0</v>
      </c>
      <c r="K28" s="103">
        <f t="shared" si="0"/>
        <v>5000</v>
      </c>
      <c r="L28" s="272"/>
      <c r="M28" s="78"/>
      <c r="N28" s="78"/>
      <c r="O28" s="78"/>
      <c r="P28" s="78"/>
      <c r="Q28" s="78"/>
      <c r="R28" s="78"/>
    </row>
    <row r="29" spans="2:18" s="5" customFormat="1" ht="18.600000000000001" customHeight="1" x14ac:dyDescent="0.3">
      <c r="B29" s="84"/>
      <c r="C29" s="95"/>
      <c r="D29" s="96"/>
      <c r="E29" s="82"/>
      <c r="F29" s="377" t="s">
        <v>380</v>
      </c>
      <c r="G29" s="378">
        <v>5000</v>
      </c>
      <c r="H29" s="379"/>
      <c r="I29" s="377" t="s">
        <v>1151</v>
      </c>
      <c r="J29" s="380">
        <v>5000</v>
      </c>
      <c r="K29" s="381">
        <f t="shared" si="0"/>
        <v>10000</v>
      </c>
      <c r="L29" s="382"/>
      <c r="M29" s="78"/>
      <c r="N29" s="78"/>
      <c r="O29" s="78"/>
      <c r="P29" s="78"/>
      <c r="Q29" s="78"/>
      <c r="R29" s="78"/>
    </row>
    <row r="30" spans="2:18" s="5" customFormat="1" ht="18.600000000000001" customHeight="1" x14ac:dyDescent="0.3">
      <c r="B30" s="84"/>
      <c r="C30" s="95"/>
      <c r="D30" s="96"/>
      <c r="E30" s="82"/>
      <c r="F30" s="377" t="s">
        <v>1069</v>
      </c>
      <c r="G30" s="378">
        <v>5000</v>
      </c>
      <c r="H30" s="379"/>
      <c r="I30" s="377" t="s">
        <v>1154</v>
      </c>
      <c r="J30" s="380">
        <v>0</v>
      </c>
      <c r="K30" s="381">
        <f t="shared" si="0"/>
        <v>5000</v>
      </c>
      <c r="L30" s="382"/>
      <c r="M30" s="78"/>
      <c r="N30" s="78"/>
      <c r="O30" s="78"/>
      <c r="P30" s="78"/>
      <c r="Q30" s="78"/>
      <c r="R30" s="78"/>
    </row>
    <row r="31" spans="2:18" s="5" customFormat="1" ht="18.600000000000001" customHeight="1" x14ac:dyDescent="0.3">
      <c r="B31" s="84"/>
      <c r="C31" s="95"/>
      <c r="D31" s="96"/>
      <c r="E31" s="82"/>
      <c r="F31" s="377" t="s">
        <v>379</v>
      </c>
      <c r="G31" s="378">
        <v>5000</v>
      </c>
      <c r="H31" s="379"/>
      <c r="I31" s="377" t="s">
        <v>1140</v>
      </c>
      <c r="J31" s="380">
        <v>0</v>
      </c>
      <c r="K31" s="381">
        <f t="shared" si="0"/>
        <v>5000</v>
      </c>
      <c r="L31" s="382"/>
      <c r="M31" s="78"/>
      <c r="N31" s="78"/>
      <c r="O31" s="78"/>
      <c r="P31" s="78"/>
      <c r="Q31" s="78"/>
      <c r="R31" s="78"/>
    </row>
    <row r="32" spans="2:18" s="5" customFormat="1" ht="18.600000000000001" customHeight="1" x14ac:dyDescent="0.3">
      <c r="B32" s="84"/>
      <c r="C32" s="95"/>
      <c r="D32" s="96"/>
      <c r="E32" s="82"/>
      <c r="F32" s="42" t="s">
        <v>379</v>
      </c>
      <c r="G32" s="109">
        <v>5000</v>
      </c>
      <c r="H32" s="82"/>
      <c r="I32" s="121" t="s">
        <v>1149</v>
      </c>
      <c r="J32" s="135">
        <v>0</v>
      </c>
      <c r="K32" s="103">
        <f t="shared" si="0"/>
        <v>5000</v>
      </c>
      <c r="L32" s="272"/>
      <c r="M32" s="78"/>
      <c r="N32" s="78"/>
      <c r="O32" s="78"/>
      <c r="P32" s="78"/>
      <c r="Q32" s="78"/>
      <c r="R32" s="78"/>
    </row>
    <row r="33" spans="2:18" s="5" customFormat="1" ht="18.600000000000001" customHeight="1" x14ac:dyDescent="0.3">
      <c r="B33" s="84"/>
      <c r="C33" s="95"/>
      <c r="D33" s="96"/>
      <c r="E33" s="82"/>
      <c r="F33" s="377" t="s">
        <v>378</v>
      </c>
      <c r="G33" s="378">
        <v>28000</v>
      </c>
      <c r="H33" s="379"/>
      <c r="I33" s="377" t="s">
        <v>1143</v>
      </c>
      <c r="J33" s="380">
        <v>0</v>
      </c>
      <c r="K33" s="381">
        <f t="shared" si="0"/>
        <v>28000</v>
      </c>
      <c r="L33" s="272"/>
      <c r="M33" s="78"/>
      <c r="N33" s="78"/>
      <c r="O33" s="78"/>
      <c r="P33" s="78"/>
      <c r="Q33" s="78"/>
      <c r="R33" s="78"/>
    </row>
    <row r="34" spans="2:18" s="5" customFormat="1" ht="18.600000000000001" customHeight="1" x14ac:dyDescent="0.3">
      <c r="B34" s="84"/>
      <c r="C34" s="95"/>
      <c r="D34" s="96"/>
      <c r="E34" s="82"/>
      <c r="F34" s="42" t="s">
        <v>378</v>
      </c>
      <c r="G34" s="109">
        <v>5000</v>
      </c>
      <c r="H34" s="82"/>
      <c r="I34" s="42" t="s">
        <v>1152</v>
      </c>
      <c r="J34" s="135">
        <v>0</v>
      </c>
      <c r="K34" s="103">
        <f t="shared" si="0"/>
        <v>5000</v>
      </c>
      <c r="L34" s="272"/>
      <c r="M34" s="78"/>
      <c r="N34" s="78"/>
      <c r="O34" s="78"/>
      <c r="P34" s="78"/>
      <c r="Q34" s="78"/>
      <c r="R34" s="78"/>
    </row>
    <row r="35" spans="2:18" s="5" customFormat="1" ht="18.600000000000001" customHeight="1" x14ac:dyDescent="0.3">
      <c r="B35" s="84"/>
      <c r="C35" s="95"/>
      <c r="D35" s="96"/>
      <c r="E35" s="82"/>
      <c r="F35" s="42" t="s">
        <v>377</v>
      </c>
      <c r="G35" s="109">
        <v>5000</v>
      </c>
      <c r="H35" s="82"/>
      <c r="I35" s="42" t="s">
        <v>1144</v>
      </c>
      <c r="J35" s="135">
        <v>0</v>
      </c>
      <c r="K35" s="103">
        <f t="shared" si="0"/>
        <v>5000</v>
      </c>
      <c r="L35" s="272"/>
      <c r="M35" s="78"/>
      <c r="N35" s="78"/>
      <c r="O35" s="78"/>
      <c r="P35" s="78"/>
      <c r="Q35" s="78"/>
      <c r="R35" s="78"/>
    </row>
    <row r="36" spans="2:18" s="5" customFormat="1" ht="18.600000000000001" customHeight="1" x14ac:dyDescent="0.3">
      <c r="B36" s="91"/>
      <c r="C36" s="97"/>
      <c r="D36" s="98"/>
      <c r="E36" s="270"/>
      <c r="F36" s="42" t="s">
        <v>377</v>
      </c>
      <c r="G36" s="109">
        <v>5000</v>
      </c>
      <c r="H36" s="270"/>
      <c r="I36" s="42" t="s">
        <v>1153</v>
      </c>
      <c r="J36" s="135">
        <v>0</v>
      </c>
      <c r="K36" s="103">
        <f t="shared" si="0"/>
        <v>5000</v>
      </c>
      <c r="L36" s="272"/>
      <c r="M36" s="78"/>
      <c r="N36" s="78"/>
      <c r="O36" s="78"/>
      <c r="P36" s="78"/>
      <c r="Q36" s="78"/>
      <c r="R36" s="78"/>
    </row>
    <row r="38" spans="2:18" ht="18.600000000000001" customHeight="1" x14ac:dyDescent="0.3">
      <c r="B38" s="93" t="s">
        <v>1408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</row>
    <row r="39" spans="2:18" ht="18.600000000000001" customHeight="1" x14ac:dyDescent="0.3">
      <c r="B39" s="405" t="s">
        <v>70</v>
      </c>
      <c r="C39" s="405" t="s">
        <v>71</v>
      </c>
      <c r="D39" s="405" t="s">
        <v>72</v>
      </c>
      <c r="E39" s="407"/>
      <c r="F39" s="408"/>
      <c r="G39" s="409"/>
      <c r="H39" s="407"/>
      <c r="I39" s="408"/>
      <c r="J39" s="408"/>
      <c r="K39" s="410" t="s">
        <v>77</v>
      </c>
      <c r="L39" s="418" t="s">
        <v>75</v>
      </c>
    </row>
    <row r="40" spans="2:18" ht="18.600000000000001" customHeight="1" x14ac:dyDescent="0.3">
      <c r="B40" s="406"/>
      <c r="C40" s="406"/>
      <c r="D40" s="406"/>
      <c r="E40" s="43" t="s">
        <v>23</v>
      </c>
      <c r="F40" s="43" t="s">
        <v>20</v>
      </c>
      <c r="G40" s="43" t="s">
        <v>19</v>
      </c>
      <c r="H40" s="43" t="s">
        <v>23</v>
      </c>
      <c r="I40" s="43" t="s">
        <v>20</v>
      </c>
      <c r="J40" s="169" t="s">
        <v>19</v>
      </c>
      <c r="K40" s="417"/>
      <c r="L40" s="419"/>
    </row>
    <row r="41" spans="2:18" ht="18.600000000000001" customHeight="1" x14ac:dyDescent="0.3">
      <c r="B41" s="167" t="s">
        <v>163</v>
      </c>
      <c r="C41" s="350" t="s">
        <v>1415</v>
      </c>
      <c r="D41" s="171" t="s">
        <v>1191</v>
      </c>
      <c r="E41" s="167" t="s">
        <v>1192</v>
      </c>
      <c r="F41" s="145" t="s">
        <v>1224</v>
      </c>
      <c r="G41" s="109">
        <v>99000</v>
      </c>
      <c r="H41" s="347" t="s">
        <v>1193</v>
      </c>
      <c r="I41" s="145" t="s">
        <v>1203</v>
      </c>
      <c r="J41" s="135">
        <v>1000</v>
      </c>
      <c r="K41" s="103">
        <f t="shared" ref="K41:K90" si="1">G41+J41</f>
        <v>100000</v>
      </c>
      <c r="L41" s="170"/>
    </row>
    <row r="42" spans="2:18" ht="18.600000000000001" customHeight="1" x14ac:dyDescent="0.3">
      <c r="B42" s="84"/>
      <c r="C42" s="95" t="s">
        <v>1416</v>
      </c>
      <c r="D42" s="96"/>
      <c r="E42" s="82"/>
      <c r="F42" s="145" t="s">
        <v>1229</v>
      </c>
      <c r="G42" s="109">
        <v>99000</v>
      </c>
      <c r="H42" s="82"/>
      <c r="I42" s="145" t="s">
        <v>1203</v>
      </c>
      <c r="J42" s="135">
        <v>1000</v>
      </c>
      <c r="K42" s="103">
        <f t="shared" si="1"/>
        <v>100000</v>
      </c>
      <c r="L42" s="170"/>
    </row>
    <row r="43" spans="2:18" ht="18.600000000000001" customHeight="1" x14ac:dyDescent="0.3">
      <c r="B43" s="84"/>
      <c r="C43" s="95"/>
      <c r="D43" s="96"/>
      <c r="E43" s="82"/>
      <c r="F43" s="145" t="s">
        <v>1231</v>
      </c>
      <c r="G43" s="109">
        <v>99000</v>
      </c>
      <c r="H43" s="82"/>
      <c r="I43" s="145" t="s">
        <v>1203</v>
      </c>
      <c r="J43" s="135">
        <v>1000</v>
      </c>
      <c r="K43" s="103">
        <f t="shared" si="1"/>
        <v>100000</v>
      </c>
      <c r="L43" s="170"/>
    </row>
    <row r="44" spans="2:18" ht="18.600000000000001" customHeight="1" x14ac:dyDescent="0.3">
      <c r="B44" s="84"/>
      <c r="C44" s="95"/>
      <c r="D44" s="96"/>
      <c r="E44" s="82"/>
      <c r="F44" s="145" t="s">
        <v>1232</v>
      </c>
      <c r="G44" s="109">
        <v>99000</v>
      </c>
      <c r="H44" s="82"/>
      <c r="I44" s="145" t="s">
        <v>1203</v>
      </c>
      <c r="J44" s="135">
        <v>1000</v>
      </c>
      <c r="K44" s="103">
        <f t="shared" si="1"/>
        <v>100000</v>
      </c>
      <c r="L44" s="170"/>
    </row>
    <row r="45" spans="2:18" ht="18.600000000000001" customHeight="1" x14ac:dyDescent="0.3">
      <c r="B45" s="84"/>
      <c r="C45" s="95"/>
      <c r="D45" s="96"/>
      <c r="E45" s="82"/>
      <c r="F45" s="145" t="s">
        <v>1234</v>
      </c>
      <c r="G45" s="109">
        <v>99000</v>
      </c>
      <c r="H45" s="82"/>
      <c r="I45" s="145" t="s">
        <v>1203</v>
      </c>
      <c r="J45" s="135">
        <v>1000</v>
      </c>
      <c r="K45" s="103">
        <f t="shared" si="1"/>
        <v>100000</v>
      </c>
      <c r="L45" s="170"/>
    </row>
    <row r="46" spans="2:18" ht="18.600000000000001" customHeight="1" x14ac:dyDescent="0.3">
      <c r="B46" s="84"/>
      <c r="C46" s="95"/>
      <c r="D46" s="96"/>
      <c r="E46" s="82"/>
      <c r="F46" s="145" t="s">
        <v>1344</v>
      </c>
      <c r="G46" s="109">
        <v>99000</v>
      </c>
      <c r="H46" s="82"/>
      <c r="I46" s="145" t="s">
        <v>1203</v>
      </c>
      <c r="J46" s="135">
        <v>1000</v>
      </c>
      <c r="K46" s="103">
        <f t="shared" si="1"/>
        <v>100000</v>
      </c>
      <c r="L46" s="178"/>
    </row>
    <row r="47" spans="2:18" ht="18.600000000000001" customHeight="1" x14ac:dyDescent="0.3">
      <c r="B47" s="84"/>
      <c r="C47" s="95"/>
      <c r="D47" s="96"/>
      <c r="E47" s="82"/>
      <c r="F47" s="145" t="s">
        <v>1238</v>
      </c>
      <c r="G47" s="109">
        <v>99000</v>
      </c>
      <c r="H47" s="82"/>
      <c r="I47" s="145" t="s">
        <v>1203</v>
      </c>
      <c r="J47" s="135">
        <v>1000</v>
      </c>
      <c r="K47" s="103">
        <f t="shared" si="1"/>
        <v>100000</v>
      </c>
      <c r="L47" s="170"/>
    </row>
    <row r="48" spans="2:18" ht="18.600000000000001" customHeight="1" x14ac:dyDescent="0.3">
      <c r="B48" s="84"/>
      <c r="C48" s="95"/>
      <c r="D48" s="96"/>
      <c r="E48" s="82"/>
      <c r="F48" s="145" t="s">
        <v>1224</v>
      </c>
      <c r="G48" s="109">
        <v>99000</v>
      </c>
      <c r="H48" s="82"/>
      <c r="I48" s="145" t="s">
        <v>383</v>
      </c>
      <c r="J48" s="135">
        <v>1000</v>
      </c>
      <c r="K48" s="103">
        <f t="shared" si="1"/>
        <v>100000</v>
      </c>
      <c r="L48" s="170"/>
    </row>
    <row r="49" spans="2:12" ht="18.600000000000001" customHeight="1" x14ac:dyDescent="0.3">
      <c r="B49" s="84"/>
      <c r="C49" s="95"/>
      <c r="D49" s="96"/>
      <c r="E49" s="82"/>
      <c r="F49" s="145" t="s">
        <v>1229</v>
      </c>
      <c r="G49" s="109">
        <v>99000</v>
      </c>
      <c r="H49" s="82"/>
      <c r="I49" s="145" t="s">
        <v>383</v>
      </c>
      <c r="J49" s="135">
        <v>1000</v>
      </c>
      <c r="K49" s="103">
        <f t="shared" si="1"/>
        <v>100000</v>
      </c>
      <c r="L49" s="170"/>
    </row>
    <row r="50" spans="2:12" ht="18.600000000000001" customHeight="1" x14ac:dyDescent="0.3">
      <c r="B50" s="84"/>
      <c r="C50" s="95"/>
      <c r="D50" s="96"/>
      <c r="E50" s="82"/>
      <c r="F50" s="145" t="s">
        <v>1231</v>
      </c>
      <c r="G50" s="109">
        <v>99000</v>
      </c>
      <c r="H50" s="82"/>
      <c r="I50" s="145" t="s">
        <v>383</v>
      </c>
      <c r="J50" s="135">
        <v>1000</v>
      </c>
      <c r="K50" s="103">
        <f t="shared" si="1"/>
        <v>100000</v>
      </c>
      <c r="L50" s="170"/>
    </row>
    <row r="51" spans="2:12" ht="18.600000000000001" customHeight="1" x14ac:dyDescent="0.3">
      <c r="B51" s="84"/>
      <c r="C51" s="95"/>
      <c r="D51" s="96"/>
      <c r="E51" s="82"/>
      <c r="F51" s="145" t="s">
        <v>1232</v>
      </c>
      <c r="G51" s="109">
        <v>99000</v>
      </c>
      <c r="H51" s="82"/>
      <c r="I51" s="145" t="s">
        <v>383</v>
      </c>
      <c r="J51" s="135">
        <v>1000</v>
      </c>
      <c r="K51" s="103">
        <f t="shared" si="1"/>
        <v>100000</v>
      </c>
      <c r="L51" s="170"/>
    </row>
    <row r="52" spans="2:12" ht="18.600000000000001" customHeight="1" x14ac:dyDescent="0.3">
      <c r="B52" s="84"/>
      <c r="C52" s="95"/>
      <c r="D52" s="96"/>
      <c r="E52" s="82"/>
      <c r="F52" s="145" t="s">
        <v>1234</v>
      </c>
      <c r="G52" s="109">
        <v>99000</v>
      </c>
      <c r="H52" s="82"/>
      <c r="I52" s="145" t="s">
        <v>383</v>
      </c>
      <c r="J52" s="135">
        <v>1000</v>
      </c>
      <c r="K52" s="103">
        <f t="shared" si="1"/>
        <v>100000</v>
      </c>
      <c r="L52" s="170"/>
    </row>
    <row r="53" spans="2:12" ht="18.600000000000001" customHeight="1" x14ac:dyDescent="0.3">
      <c r="B53" s="84"/>
      <c r="C53" s="95"/>
      <c r="D53" s="96"/>
      <c r="E53" s="82"/>
      <c r="F53" s="145" t="s">
        <v>1344</v>
      </c>
      <c r="G53" s="109">
        <v>99000</v>
      </c>
      <c r="H53" s="82"/>
      <c r="I53" s="145" t="s">
        <v>383</v>
      </c>
      <c r="J53" s="135">
        <v>1000</v>
      </c>
      <c r="K53" s="103">
        <f t="shared" si="1"/>
        <v>100000</v>
      </c>
      <c r="L53" s="178"/>
    </row>
    <row r="54" spans="2:12" ht="18.600000000000001" customHeight="1" x14ac:dyDescent="0.3">
      <c r="B54" s="84"/>
      <c r="C54" s="95"/>
      <c r="D54" s="96"/>
      <c r="E54" s="82"/>
      <c r="F54" s="145" t="s">
        <v>1238</v>
      </c>
      <c r="G54" s="109">
        <v>99000</v>
      </c>
      <c r="H54" s="82"/>
      <c r="I54" s="145" t="s">
        <v>383</v>
      </c>
      <c r="J54" s="135">
        <v>1000</v>
      </c>
      <c r="K54" s="103">
        <f t="shared" si="1"/>
        <v>100000</v>
      </c>
      <c r="L54" s="170"/>
    </row>
    <row r="55" spans="2:12" ht="18.600000000000001" customHeight="1" x14ac:dyDescent="0.3">
      <c r="B55" s="84"/>
      <c r="C55" s="95"/>
      <c r="D55" s="96"/>
      <c r="E55" s="82"/>
      <c r="F55" s="145" t="s">
        <v>884</v>
      </c>
      <c r="G55" s="109">
        <v>99000</v>
      </c>
      <c r="H55" s="82"/>
      <c r="I55" s="145" t="s">
        <v>1240</v>
      </c>
      <c r="J55" s="135">
        <v>1000</v>
      </c>
      <c r="K55" s="103">
        <f t="shared" si="1"/>
        <v>100000</v>
      </c>
      <c r="L55" s="170"/>
    </row>
    <row r="56" spans="2:12" ht="18.600000000000001" customHeight="1" x14ac:dyDescent="0.3">
      <c r="B56" s="84"/>
      <c r="C56" s="95"/>
      <c r="D56" s="96"/>
      <c r="E56" s="82"/>
      <c r="F56" s="145" t="s">
        <v>891</v>
      </c>
      <c r="G56" s="109">
        <v>99000</v>
      </c>
      <c r="H56" s="82"/>
      <c r="I56" s="145" t="s">
        <v>1240</v>
      </c>
      <c r="J56" s="135">
        <v>1000</v>
      </c>
      <c r="K56" s="103">
        <f t="shared" si="1"/>
        <v>100000</v>
      </c>
      <c r="L56" s="170"/>
    </row>
    <row r="57" spans="2:12" ht="18.600000000000001" customHeight="1" x14ac:dyDescent="0.3">
      <c r="B57" s="84"/>
      <c r="C57" s="95"/>
      <c r="D57" s="96"/>
      <c r="E57" s="82"/>
      <c r="F57" s="145" t="s">
        <v>888</v>
      </c>
      <c r="G57" s="109">
        <v>99000</v>
      </c>
      <c r="H57" s="82"/>
      <c r="I57" s="145" t="s">
        <v>1240</v>
      </c>
      <c r="J57" s="135">
        <v>1000</v>
      </c>
      <c r="K57" s="103">
        <f t="shared" si="1"/>
        <v>100000</v>
      </c>
      <c r="L57" s="170"/>
    </row>
    <row r="58" spans="2:12" ht="18.600000000000001" customHeight="1" x14ac:dyDescent="0.3">
      <c r="B58" s="84"/>
      <c r="C58" s="95"/>
      <c r="D58" s="96"/>
      <c r="E58" s="82"/>
      <c r="F58" s="145" t="s">
        <v>881</v>
      </c>
      <c r="G58" s="109">
        <v>99000</v>
      </c>
      <c r="H58" s="82"/>
      <c r="I58" s="145" t="s">
        <v>1240</v>
      </c>
      <c r="J58" s="135">
        <v>1000</v>
      </c>
      <c r="K58" s="103">
        <f t="shared" si="1"/>
        <v>100000</v>
      </c>
      <c r="L58" s="170"/>
    </row>
    <row r="59" spans="2:12" ht="18.600000000000001" customHeight="1" x14ac:dyDescent="0.3">
      <c r="B59" s="84"/>
      <c r="C59" s="95"/>
      <c r="D59" s="96"/>
      <c r="E59" s="82"/>
      <c r="F59" s="145" t="s">
        <v>875</v>
      </c>
      <c r="G59" s="109">
        <v>99000</v>
      </c>
      <c r="H59" s="82"/>
      <c r="I59" s="145" t="s">
        <v>1240</v>
      </c>
      <c r="J59" s="135">
        <v>1000</v>
      </c>
      <c r="K59" s="103">
        <f t="shared" si="1"/>
        <v>100000</v>
      </c>
      <c r="L59" s="170"/>
    </row>
    <row r="60" spans="2:12" ht="18.600000000000001" customHeight="1" x14ac:dyDescent="0.3">
      <c r="B60" s="84"/>
      <c r="C60" s="95"/>
      <c r="D60" s="96"/>
      <c r="E60" s="82"/>
      <c r="F60" s="145" t="s">
        <v>890</v>
      </c>
      <c r="G60" s="109">
        <v>99000</v>
      </c>
      <c r="H60" s="82"/>
      <c r="I60" s="145" t="s">
        <v>1240</v>
      </c>
      <c r="J60" s="135">
        <v>1000</v>
      </c>
      <c r="K60" s="103">
        <f t="shared" si="1"/>
        <v>100000</v>
      </c>
      <c r="L60" s="170"/>
    </row>
    <row r="61" spans="2:12" ht="18.600000000000001" customHeight="1" x14ac:dyDescent="0.3">
      <c r="B61" s="84"/>
      <c r="C61" s="95"/>
      <c r="D61" s="96"/>
      <c r="E61" s="82"/>
      <c r="F61" s="145" t="s">
        <v>884</v>
      </c>
      <c r="G61" s="109">
        <v>99000</v>
      </c>
      <c r="H61" s="82"/>
      <c r="I61" s="145" t="s">
        <v>1368</v>
      </c>
      <c r="J61" s="135">
        <v>1000</v>
      </c>
      <c r="K61" s="103">
        <f t="shared" si="1"/>
        <v>100000</v>
      </c>
      <c r="L61" s="170"/>
    </row>
    <row r="62" spans="2:12" ht="18.600000000000001" customHeight="1" x14ac:dyDescent="0.3">
      <c r="B62" s="84"/>
      <c r="C62" s="95"/>
      <c r="D62" s="96"/>
      <c r="E62" s="82"/>
      <c r="F62" s="145" t="s">
        <v>891</v>
      </c>
      <c r="G62" s="109">
        <v>99000</v>
      </c>
      <c r="H62" s="82"/>
      <c r="I62" s="145" t="s">
        <v>1368</v>
      </c>
      <c r="J62" s="135">
        <v>1000</v>
      </c>
      <c r="K62" s="103">
        <f t="shared" si="1"/>
        <v>100000</v>
      </c>
      <c r="L62" s="170"/>
    </row>
    <row r="63" spans="2:12" ht="18.600000000000001" customHeight="1" x14ac:dyDescent="0.3">
      <c r="B63" s="84"/>
      <c r="C63" s="95"/>
      <c r="D63" s="96"/>
      <c r="E63" s="82"/>
      <c r="F63" s="145" t="s">
        <v>888</v>
      </c>
      <c r="G63" s="109">
        <v>99000</v>
      </c>
      <c r="H63" s="82"/>
      <c r="I63" s="145" t="s">
        <v>1368</v>
      </c>
      <c r="J63" s="135">
        <v>1000</v>
      </c>
      <c r="K63" s="103">
        <f t="shared" si="1"/>
        <v>100000</v>
      </c>
      <c r="L63" s="170"/>
    </row>
    <row r="64" spans="2:12" ht="18.600000000000001" customHeight="1" x14ac:dyDescent="0.3">
      <c r="B64" s="84"/>
      <c r="C64" s="95"/>
      <c r="D64" s="96"/>
      <c r="E64" s="82"/>
      <c r="F64" s="145" t="s">
        <v>881</v>
      </c>
      <c r="G64" s="109">
        <v>99000</v>
      </c>
      <c r="H64" s="82"/>
      <c r="I64" s="145" t="s">
        <v>1368</v>
      </c>
      <c r="J64" s="135">
        <v>1000</v>
      </c>
      <c r="K64" s="103">
        <f t="shared" si="1"/>
        <v>100000</v>
      </c>
      <c r="L64" s="170"/>
    </row>
    <row r="65" spans="2:12" ht="18.600000000000001" customHeight="1" x14ac:dyDescent="0.3">
      <c r="B65" s="84"/>
      <c r="C65" s="95"/>
      <c r="D65" s="96"/>
      <c r="E65" s="82"/>
      <c r="F65" s="145" t="s">
        <v>875</v>
      </c>
      <c r="G65" s="109">
        <v>99000</v>
      </c>
      <c r="H65" s="82"/>
      <c r="I65" s="145" t="s">
        <v>1368</v>
      </c>
      <c r="J65" s="135">
        <v>1000</v>
      </c>
      <c r="K65" s="103">
        <f t="shared" si="1"/>
        <v>100000</v>
      </c>
      <c r="L65" s="170"/>
    </row>
    <row r="66" spans="2:12" ht="18.600000000000001" customHeight="1" x14ac:dyDescent="0.3">
      <c r="B66" s="84"/>
      <c r="C66" s="95"/>
      <c r="D66" s="96"/>
      <c r="E66" s="82"/>
      <c r="F66" s="145" t="s">
        <v>890</v>
      </c>
      <c r="G66" s="109">
        <v>99000</v>
      </c>
      <c r="H66" s="82"/>
      <c r="I66" s="145" t="s">
        <v>1368</v>
      </c>
      <c r="J66" s="135">
        <v>1000</v>
      </c>
      <c r="K66" s="103">
        <f t="shared" si="1"/>
        <v>100000</v>
      </c>
      <c r="L66" s="170"/>
    </row>
    <row r="67" spans="2:12" ht="18.600000000000001" customHeight="1" x14ac:dyDescent="0.3">
      <c r="B67" s="84"/>
      <c r="C67" s="95"/>
      <c r="D67" s="96"/>
      <c r="E67" s="82"/>
      <c r="F67" s="145" t="s">
        <v>884</v>
      </c>
      <c r="G67" s="109">
        <v>99000</v>
      </c>
      <c r="H67" s="82"/>
      <c r="I67" s="145" t="s">
        <v>1345</v>
      </c>
      <c r="J67" s="135">
        <v>1000</v>
      </c>
      <c r="K67" s="103">
        <f t="shared" si="1"/>
        <v>100000</v>
      </c>
      <c r="L67" s="170"/>
    </row>
    <row r="68" spans="2:12" ht="18.600000000000001" customHeight="1" x14ac:dyDescent="0.3">
      <c r="B68" s="84"/>
      <c r="C68" s="95"/>
      <c r="D68" s="96"/>
      <c r="E68" s="82"/>
      <c r="F68" s="145" t="s">
        <v>891</v>
      </c>
      <c r="G68" s="109">
        <v>99000</v>
      </c>
      <c r="H68" s="82"/>
      <c r="I68" s="145" t="s">
        <v>1345</v>
      </c>
      <c r="J68" s="135">
        <v>1000</v>
      </c>
      <c r="K68" s="103">
        <f t="shared" si="1"/>
        <v>100000</v>
      </c>
      <c r="L68" s="170"/>
    </row>
    <row r="69" spans="2:12" ht="18.600000000000001" customHeight="1" x14ac:dyDescent="0.3">
      <c r="B69" s="84"/>
      <c r="C69" s="95"/>
      <c r="D69" s="96"/>
      <c r="E69" s="82"/>
      <c r="F69" s="145" t="s">
        <v>888</v>
      </c>
      <c r="G69" s="109">
        <v>99000</v>
      </c>
      <c r="H69" s="82"/>
      <c r="I69" s="145" t="s">
        <v>1345</v>
      </c>
      <c r="J69" s="135">
        <v>1000</v>
      </c>
      <c r="K69" s="103">
        <f t="shared" si="1"/>
        <v>100000</v>
      </c>
      <c r="L69" s="170"/>
    </row>
    <row r="70" spans="2:12" ht="18.600000000000001" customHeight="1" x14ac:dyDescent="0.3">
      <c r="B70" s="84"/>
      <c r="C70" s="95"/>
      <c r="D70" s="96"/>
      <c r="E70" s="82"/>
      <c r="F70" s="145" t="s">
        <v>881</v>
      </c>
      <c r="G70" s="109">
        <v>99000</v>
      </c>
      <c r="H70" s="82"/>
      <c r="I70" s="145" t="s">
        <v>1345</v>
      </c>
      <c r="J70" s="135">
        <v>1000</v>
      </c>
      <c r="K70" s="103">
        <f t="shared" si="1"/>
        <v>100000</v>
      </c>
      <c r="L70" s="170"/>
    </row>
    <row r="71" spans="2:12" ht="18.600000000000001" customHeight="1" x14ac:dyDescent="0.3">
      <c r="B71" s="84"/>
      <c r="C71" s="95"/>
      <c r="D71" s="96"/>
      <c r="E71" s="82"/>
      <c r="F71" s="145" t="s">
        <v>875</v>
      </c>
      <c r="G71" s="109">
        <v>99000</v>
      </c>
      <c r="H71" s="82"/>
      <c r="I71" s="145" t="s">
        <v>1345</v>
      </c>
      <c r="J71" s="135">
        <v>1000</v>
      </c>
      <c r="K71" s="103">
        <f t="shared" si="1"/>
        <v>100000</v>
      </c>
      <c r="L71" s="170"/>
    </row>
    <row r="72" spans="2:12" ht="18.600000000000001" customHeight="1" x14ac:dyDescent="0.3">
      <c r="B72" s="84"/>
      <c r="C72" s="95"/>
      <c r="D72" s="96"/>
      <c r="E72" s="82"/>
      <c r="F72" s="145" t="s">
        <v>890</v>
      </c>
      <c r="G72" s="109">
        <v>99000</v>
      </c>
      <c r="H72" s="82"/>
      <c r="I72" s="145" t="s">
        <v>1345</v>
      </c>
      <c r="J72" s="135">
        <v>1000</v>
      </c>
      <c r="K72" s="103">
        <f t="shared" si="1"/>
        <v>100000</v>
      </c>
      <c r="L72" s="170"/>
    </row>
    <row r="73" spans="2:12" ht="18.600000000000001" customHeight="1" x14ac:dyDescent="0.3">
      <c r="B73" s="84"/>
      <c r="C73" s="95"/>
      <c r="D73" s="96"/>
      <c r="E73" s="82"/>
      <c r="F73" s="145" t="s">
        <v>900</v>
      </c>
      <c r="G73" s="109">
        <v>59000</v>
      </c>
      <c r="H73" s="82"/>
      <c r="I73" s="145" t="s">
        <v>1346</v>
      </c>
      <c r="J73" s="135">
        <v>1000</v>
      </c>
      <c r="K73" s="103">
        <f t="shared" si="1"/>
        <v>60000</v>
      </c>
      <c r="L73" s="170"/>
    </row>
    <row r="74" spans="2:12" ht="18.600000000000001" customHeight="1" x14ac:dyDescent="0.3">
      <c r="B74" s="84"/>
      <c r="C74" s="95"/>
      <c r="D74" s="96"/>
      <c r="E74" s="82"/>
      <c r="F74" s="145" t="s">
        <v>892</v>
      </c>
      <c r="G74" s="109">
        <v>59000</v>
      </c>
      <c r="H74" s="82"/>
      <c r="I74" s="145" t="s">
        <v>1346</v>
      </c>
      <c r="J74" s="135">
        <v>1000</v>
      </c>
      <c r="K74" s="103">
        <f t="shared" si="1"/>
        <v>60000</v>
      </c>
      <c r="L74" s="170"/>
    </row>
    <row r="75" spans="2:12" ht="18.600000000000001" customHeight="1" x14ac:dyDescent="0.3">
      <c r="B75" s="84"/>
      <c r="C75" s="95"/>
      <c r="D75" s="96"/>
      <c r="E75" s="82"/>
      <c r="F75" s="145" t="s">
        <v>895</v>
      </c>
      <c r="G75" s="109">
        <v>149000</v>
      </c>
      <c r="H75" s="82"/>
      <c r="I75" s="145" t="s">
        <v>1346</v>
      </c>
      <c r="J75" s="135">
        <v>1000</v>
      </c>
      <c r="K75" s="103">
        <f t="shared" si="1"/>
        <v>150000</v>
      </c>
      <c r="L75" s="170"/>
    </row>
    <row r="76" spans="2:12" ht="18.600000000000001" customHeight="1" x14ac:dyDescent="0.3">
      <c r="B76" s="84"/>
      <c r="C76" s="95"/>
      <c r="D76" s="96"/>
      <c r="E76" s="82"/>
      <c r="F76" s="145" t="s">
        <v>904</v>
      </c>
      <c r="G76" s="109">
        <v>59000</v>
      </c>
      <c r="H76" s="82"/>
      <c r="I76" s="145" t="s">
        <v>1346</v>
      </c>
      <c r="J76" s="135">
        <v>1000</v>
      </c>
      <c r="K76" s="103">
        <f t="shared" si="1"/>
        <v>60000</v>
      </c>
      <c r="L76" s="170"/>
    </row>
    <row r="77" spans="2:12" ht="18.600000000000001" customHeight="1" x14ac:dyDescent="0.3">
      <c r="B77" s="84"/>
      <c r="C77" s="95"/>
      <c r="D77" s="96"/>
      <c r="E77" s="82"/>
      <c r="F77" s="145" t="s">
        <v>906</v>
      </c>
      <c r="G77" s="109">
        <v>59000</v>
      </c>
      <c r="H77" s="82"/>
      <c r="I77" s="145" t="s">
        <v>1346</v>
      </c>
      <c r="J77" s="135">
        <v>1000</v>
      </c>
      <c r="K77" s="103">
        <f t="shared" si="1"/>
        <v>60000</v>
      </c>
      <c r="L77" s="170"/>
    </row>
    <row r="78" spans="2:12" ht="18.600000000000001" customHeight="1" x14ac:dyDescent="0.3">
      <c r="B78" s="84"/>
      <c r="C78" s="95"/>
      <c r="D78" s="96"/>
      <c r="E78" s="82"/>
      <c r="F78" s="145" t="s">
        <v>908</v>
      </c>
      <c r="G78" s="109">
        <v>59000</v>
      </c>
      <c r="H78" s="82"/>
      <c r="I78" s="145" t="s">
        <v>1346</v>
      </c>
      <c r="J78" s="135">
        <v>1000</v>
      </c>
      <c r="K78" s="103">
        <f t="shared" si="1"/>
        <v>60000</v>
      </c>
      <c r="L78" s="170"/>
    </row>
    <row r="79" spans="2:12" ht="18.600000000000001" customHeight="1" x14ac:dyDescent="0.3">
      <c r="B79" s="84"/>
      <c r="C79" s="95"/>
      <c r="D79" s="96"/>
      <c r="E79" s="82"/>
      <c r="F79" s="145" t="s">
        <v>900</v>
      </c>
      <c r="G79" s="109">
        <v>59000</v>
      </c>
      <c r="H79" s="82"/>
      <c r="I79" s="145" t="s">
        <v>1347</v>
      </c>
      <c r="J79" s="135">
        <v>1000</v>
      </c>
      <c r="K79" s="103">
        <f t="shared" si="1"/>
        <v>60000</v>
      </c>
      <c r="L79" s="178"/>
    </row>
    <row r="80" spans="2:12" ht="18.600000000000001" customHeight="1" x14ac:dyDescent="0.3">
      <c r="B80" s="84"/>
      <c r="C80" s="95"/>
      <c r="D80" s="96"/>
      <c r="E80" s="82"/>
      <c r="F80" s="145" t="s">
        <v>892</v>
      </c>
      <c r="G80" s="109">
        <v>59000</v>
      </c>
      <c r="H80" s="82"/>
      <c r="I80" s="145" t="s">
        <v>1347</v>
      </c>
      <c r="J80" s="135">
        <v>1000</v>
      </c>
      <c r="K80" s="103">
        <f t="shared" si="1"/>
        <v>60000</v>
      </c>
      <c r="L80" s="178"/>
    </row>
    <row r="81" spans="2:12" ht="18.600000000000001" customHeight="1" x14ac:dyDescent="0.3">
      <c r="B81" s="84"/>
      <c r="C81" s="95"/>
      <c r="D81" s="96"/>
      <c r="E81" s="82"/>
      <c r="F81" s="145" t="s">
        <v>895</v>
      </c>
      <c r="G81" s="109">
        <v>149000</v>
      </c>
      <c r="H81" s="82"/>
      <c r="I81" s="145" t="s">
        <v>1347</v>
      </c>
      <c r="J81" s="135">
        <v>1000</v>
      </c>
      <c r="K81" s="103">
        <f t="shared" si="1"/>
        <v>150000</v>
      </c>
      <c r="L81" s="178"/>
    </row>
    <row r="82" spans="2:12" ht="18.600000000000001" customHeight="1" x14ac:dyDescent="0.3">
      <c r="B82" s="84"/>
      <c r="C82" s="95"/>
      <c r="D82" s="96"/>
      <c r="E82" s="82"/>
      <c r="F82" s="145" t="s">
        <v>904</v>
      </c>
      <c r="G82" s="109">
        <v>59000</v>
      </c>
      <c r="H82" s="82"/>
      <c r="I82" s="145" t="s">
        <v>1347</v>
      </c>
      <c r="J82" s="135">
        <v>1000</v>
      </c>
      <c r="K82" s="103">
        <f t="shared" si="1"/>
        <v>60000</v>
      </c>
      <c r="L82" s="178"/>
    </row>
    <row r="83" spans="2:12" ht="18.600000000000001" customHeight="1" x14ac:dyDescent="0.3">
      <c r="B83" s="84"/>
      <c r="C83" s="95"/>
      <c r="D83" s="96"/>
      <c r="E83" s="82"/>
      <c r="F83" s="145" t="s">
        <v>906</v>
      </c>
      <c r="G83" s="109">
        <v>59000</v>
      </c>
      <c r="H83" s="82"/>
      <c r="I83" s="145" t="s">
        <v>1347</v>
      </c>
      <c r="J83" s="135">
        <v>1000</v>
      </c>
      <c r="K83" s="103">
        <f t="shared" si="1"/>
        <v>60000</v>
      </c>
      <c r="L83" s="178"/>
    </row>
    <row r="84" spans="2:12" ht="18.600000000000001" customHeight="1" x14ac:dyDescent="0.3">
      <c r="B84" s="84"/>
      <c r="C84" s="95"/>
      <c r="D84" s="96"/>
      <c r="E84" s="82"/>
      <c r="F84" s="145" t="s">
        <v>908</v>
      </c>
      <c r="G84" s="109">
        <v>59000</v>
      </c>
      <c r="H84" s="82"/>
      <c r="I84" s="145" t="s">
        <v>1347</v>
      </c>
      <c r="J84" s="135">
        <v>1000</v>
      </c>
      <c r="K84" s="103">
        <f t="shared" si="1"/>
        <v>60000</v>
      </c>
      <c r="L84" s="178"/>
    </row>
    <row r="85" spans="2:12" ht="18.600000000000001" customHeight="1" x14ac:dyDescent="0.3">
      <c r="B85" s="84"/>
      <c r="C85" s="95"/>
      <c r="D85" s="96"/>
      <c r="E85" s="82"/>
      <c r="F85" s="145" t="s">
        <v>900</v>
      </c>
      <c r="G85" s="109">
        <v>59000</v>
      </c>
      <c r="H85" s="82"/>
      <c r="I85" s="145" t="s">
        <v>1348</v>
      </c>
      <c r="J85" s="135">
        <v>1000</v>
      </c>
      <c r="K85" s="103">
        <f t="shared" si="1"/>
        <v>60000</v>
      </c>
      <c r="L85" s="170"/>
    </row>
    <row r="86" spans="2:12" ht="18.600000000000001" customHeight="1" x14ac:dyDescent="0.3">
      <c r="B86" s="84"/>
      <c r="C86" s="95"/>
      <c r="D86" s="96"/>
      <c r="E86" s="82"/>
      <c r="F86" s="145" t="s">
        <v>892</v>
      </c>
      <c r="G86" s="109">
        <v>59000</v>
      </c>
      <c r="H86" s="82"/>
      <c r="I86" s="145" t="s">
        <v>1348</v>
      </c>
      <c r="J86" s="135">
        <v>1000</v>
      </c>
      <c r="K86" s="103">
        <f t="shared" si="1"/>
        <v>60000</v>
      </c>
      <c r="L86" s="170"/>
    </row>
    <row r="87" spans="2:12" ht="18.600000000000001" customHeight="1" x14ac:dyDescent="0.3">
      <c r="B87" s="84"/>
      <c r="C87" s="95"/>
      <c r="D87" s="96"/>
      <c r="E87" s="82"/>
      <c r="F87" s="145" t="s">
        <v>895</v>
      </c>
      <c r="G87" s="109">
        <v>149000</v>
      </c>
      <c r="H87" s="82"/>
      <c r="I87" s="145" t="s">
        <v>1348</v>
      </c>
      <c r="J87" s="135">
        <v>1000</v>
      </c>
      <c r="K87" s="103">
        <f t="shared" si="1"/>
        <v>150000</v>
      </c>
      <c r="L87" s="170"/>
    </row>
    <row r="88" spans="2:12" ht="18.600000000000001" customHeight="1" x14ac:dyDescent="0.3">
      <c r="B88" s="84"/>
      <c r="C88" s="95"/>
      <c r="D88" s="96"/>
      <c r="E88" s="82"/>
      <c r="F88" s="145" t="s">
        <v>904</v>
      </c>
      <c r="G88" s="109">
        <v>59000</v>
      </c>
      <c r="H88" s="82"/>
      <c r="I88" s="145" t="s">
        <v>1348</v>
      </c>
      <c r="J88" s="135">
        <v>1000</v>
      </c>
      <c r="K88" s="103">
        <f t="shared" si="1"/>
        <v>60000</v>
      </c>
      <c r="L88" s="170"/>
    </row>
    <row r="89" spans="2:12" ht="18.600000000000001" customHeight="1" x14ac:dyDescent="0.3">
      <c r="B89" s="84"/>
      <c r="C89" s="95"/>
      <c r="D89" s="96"/>
      <c r="E89" s="82"/>
      <c r="F89" s="145" t="s">
        <v>906</v>
      </c>
      <c r="G89" s="109">
        <v>59000</v>
      </c>
      <c r="H89" s="82"/>
      <c r="I89" s="145" t="s">
        <v>1348</v>
      </c>
      <c r="J89" s="135">
        <v>1000</v>
      </c>
      <c r="K89" s="103">
        <f t="shared" si="1"/>
        <v>60000</v>
      </c>
      <c r="L89" s="170"/>
    </row>
    <row r="90" spans="2:12" ht="18.600000000000001" customHeight="1" x14ac:dyDescent="0.3">
      <c r="B90" s="91"/>
      <c r="C90" s="97"/>
      <c r="D90" s="98"/>
      <c r="E90" s="168"/>
      <c r="F90" s="145" t="s">
        <v>908</v>
      </c>
      <c r="G90" s="109">
        <v>59000</v>
      </c>
      <c r="H90" s="348"/>
      <c r="I90" s="145" t="s">
        <v>1348</v>
      </c>
      <c r="J90" s="135">
        <v>1000</v>
      </c>
      <c r="K90" s="103">
        <f t="shared" si="1"/>
        <v>60000</v>
      </c>
      <c r="L90" s="170"/>
    </row>
    <row r="92" spans="2:12" ht="18.600000000000001" customHeight="1" x14ac:dyDescent="0.3">
      <c r="B92" s="304" t="s">
        <v>1442</v>
      </c>
      <c r="C92" s="305"/>
      <c r="D92" s="305"/>
      <c r="E92" s="305"/>
      <c r="F92" s="305"/>
      <c r="G92" s="305"/>
      <c r="H92" s="305"/>
      <c r="I92" s="305"/>
      <c r="J92" s="305"/>
      <c r="K92" s="305"/>
      <c r="L92" s="305"/>
    </row>
    <row r="93" spans="2:12" ht="18.600000000000001" customHeight="1" x14ac:dyDescent="0.3">
      <c r="B93" s="405" t="s">
        <v>70</v>
      </c>
      <c r="C93" s="405" t="s">
        <v>71</v>
      </c>
      <c r="D93" s="405" t="s">
        <v>72</v>
      </c>
      <c r="E93" s="407"/>
      <c r="F93" s="408"/>
      <c r="G93" s="409"/>
      <c r="H93" s="407"/>
      <c r="I93" s="408"/>
      <c r="J93" s="408"/>
      <c r="K93" s="410" t="s">
        <v>77</v>
      </c>
      <c r="L93" s="418" t="s">
        <v>75</v>
      </c>
    </row>
    <row r="94" spans="2:12" ht="18.600000000000001" customHeight="1" x14ac:dyDescent="0.3">
      <c r="B94" s="406"/>
      <c r="C94" s="406"/>
      <c r="D94" s="406"/>
      <c r="E94" s="43" t="s">
        <v>23</v>
      </c>
      <c r="F94" s="43" t="s">
        <v>20</v>
      </c>
      <c r="G94" s="43" t="s">
        <v>19</v>
      </c>
      <c r="H94" s="43" t="s">
        <v>23</v>
      </c>
      <c r="I94" s="43" t="s">
        <v>20</v>
      </c>
      <c r="J94" s="351" t="s">
        <v>19</v>
      </c>
      <c r="K94" s="417"/>
      <c r="L94" s="419"/>
    </row>
    <row r="95" spans="2:12" ht="18.600000000000001" customHeight="1" x14ac:dyDescent="0.3">
      <c r="B95" s="151" t="s">
        <v>366</v>
      </c>
      <c r="C95" s="306" t="s">
        <v>1415</v>
      </c>
      <c r="D95" s="151" t="s">
        <v>1430</v>
      </c>
      <c r="E95" s="25" t="s">
        <v>47</v>
      </c>
      <c r="F95" s="25" t="s">
        <v>1327</v>
      </c>
      <c r="G95" s="179">
        <v>50000</v>
      </c>
      <c r="H95" s="25" t="s">
        <v>1437</v>
      </c>
      <c r="I95" s="25" t="s">
        <v>1248</v>
      </c>
      <c r="J95" s="179">
        <v>50000</v>
      </c>
      <c r="K95" s="180">
        <f t="shared" ref="K95:K96" si="2">+J95+G95</f>
        <v>100000</v>
      </c>
      <c r="L95" s="292"/>
    </row>
    <row r="96" spans="2:12" ht="18.600000000000001" customHeight="1" x14ac:dyDescent="0.3">
      <c r="B96" s="151" t="s">
        <v>366</v>
      </c>
      <c r="C96" s="307" t="s">
        <v>1415</v>
      </c>
      <c r="D96" s="151" t="s">
        <v>1430</v>
      </c>
      <c r="E96" s="25" t="s">
        <v>47</v>
      </c>
      <c r="F96" s="25" t="s">
        <v>1327</v>
      </c>
      <c r="G96" s="179">
        <v>50000</v>
      </c>
      <c r="H96" s="25" t="s">
        <v>1437</v>
      </c>
      <c r="I96" s="25" t="s">
        <v>1249</v>
      </c>
      <c r="J96" s="179">
        <v>50000</v>
      </c>
      <c r="K96" s="180">
        <f t="shared" si="2"/>
        <v>100000</v>
      </c>
      <c r="L96" s="292"/>
    </row>
  </sheetData>
  <mergeCells count="28">
    <mergeCell ref="L6:L7"/>
    <mergeCell ref="B13:B14"/>
    <mergeCell ref="C13:C14"/>
    <mergeCell ref="D13:D14"/>
    <mergeCell ref="E13:G13"/>
    <mergeCell ref="H13:J13"/>
    <mergeCell ref="K13:K14"/>
    <mergeCell ref="L13:L14"/>
    <mergeCell ref="B6:B7"/>
    <mergeCell ref="C6:C7"/>
    <mergeCell ref="D6:D7"/>
    <mergeCell ref="E6:G6"/>
    <mergeCell ref="H6:J6"/>
    <mergeCell ref="K6:K7"/>
    <mergeCell ref="K39:K40"/>
    <mergeCell ref="L39:L40"/>
    <mergeCell ref="B39:B40"/>
    <mergeCell ref="C39:C40"/>
    <mergeCell ref="D39:D40"/>
    <mergeCell ref="E39:G39"/>
    <mergeCell ref="H39:J39"/>
    <mergeCell ref="K93:K94"/>
    <mergeCell ref="L93:L94"/>
    <mergeCell ref="B93:B94"/>
    <mergeCell ref="C93:C94"/>
    <mergeCell ref="D93:D94"/>
    <mergeCell ref="E93:G93"/>
    <mergeCell ref="H93:J93"/>
  </mergeCells>
  <phoneticPr fontId="2" type="noConversion"/>
  <conditionalFormatting sqref="M1:M2">
    <cfRule type="duplicateValues" dxfId="66" priority="102"/>
  </conditionalFormatting>
  <pageMargins left="0.25" right="0.25" top="0.75" bottom="0.75" header="0.3" footer="0.3"/>
  <pageSetup paperSize="9" scale="44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B2:P68"/>
  <sheetViews>
    <sheetView showGridLines="0"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M57" sqref="M57"/>
    </sheetView>
  </sheetViews>
  <sheetFormatPr defaultColWidth="9" defaultRowHeight="18.600000000000001" customHeight="1" x14ac:dyDescent="0.3"/>
  <cols>
    <col min="1" max="1" width="3.875" style="1" customWidth="1"/>
    <col min="2" max="2" width="9" style="2" customWidth="1"/>
    <col min="3" max="3" width="16.625" style="5" customWidth="1"/>
    <col min="4" max="4" width="26.25" style="1" bestFit="1" customWidth="1"/>
    <col min="5" max="5" width="18.875" style="1" customWidth="1"/>
    <col min="6" max="6" width="19.375" style="1" bestFit="1" customWidth="1"/>
    <col min="7" max="7" width="17.5" style="1" customWidth="1"/>
    <col min="8" max="8" width="21.625" style="1" customWidth="1"/>
    <col min="9" max="9" width="19" style="1" customWidth="1"/>
    <col min="10" max="10" width="18.25" style="1" bestFit="1" customWidth="1"/>
    <col min="11" max="11" width="22.125" style="1" customWidth="1"/>
    <col min="12" max="12" width="38.875" style="1" bestFit="1" customWidth="1"/>
    <col min="13" max="13" width="21.125" style="1" customWidth="1"/>
    <col min="14" max="14" width="19.75" style="1" customWidth="1"/>
    <col min="15" max="15" width="14.75" style="1" customWidth="1"/>
    <col min="16" max="17" width="10.25" style="1" customWidth="1"/>
    <col min="18" max="18" width="9" style="1"/>
    <col min="19" max="19" width="10.5" style="1" bestFit="1" customWidth="1"/>
    <col min="20" max="21" width="9" style="1"/>
    <col min="22" max="22" width="10.5" style="1" bestFit="1" customWidth="1"/>
    <col min="23" max="23" width="15.125" style="1" bestFit="1" customWidth="1"/>
    <col min="24" max="24" width="9" style="1"/>
    <col min="25" max="25" width="10.5" style="1" bestFit="1" customWidth="1"/>
    <col min="26" max="16384" width="9" style="1"/>
  </cols>
  <sheetData>
    <row r="2" spans="2:12" ht="33" customHeight="1" x14ac:dyDescent="0.3">
      <c r="B2" s="11" t="s">
        <v>60</v>
      </c>
      <c r="G2" s="7" t="s">
        <v>0</v>
      </c>
    </row>
    <row r="3" spans="2:12" ht="18.600000000000001" customHeight="1" x14ac:dyDescent="0.3">
      <c r="B3" s="10"/>
    </row>
    <row r="5" spans="2:12" ht="18" customHeight="1" x14ac:dyDescent="0.3">
      <c r="B5" s="34" t="s">
        <v>1409</v>
      </c>
      <c r="C5" s="34"/>
      <c r="D5" s="34"/>
      <c r="E5" s="35"/>
      <c r="F5" s="35"/>
      <c r="G5" s="35"/>
      <c r="H5" s="35"/>
      <c r="I5" s="35"/>
      <c r="J5" s="35"/>
      <c r="K5" s="35"/>
      <c r="L5" s="35"/>
    </row>
    <row r="6" spans="2:12" ht="16.5" customHeight="1" x14ac:dyDescent="0.3">
      <c r="B6" s="441" t="s">
        <v>70</v>
      </c>
      <c r="C6" s="441" t="s">
        <v>71</v>
      </c>
      <c r="D6" s="441" t="s">
        <v>72</v>
      </c>
      <c r="E6" s="441" t="s">
        <v>73</v>
      </c>
      <c r="F6" s="441"/>
      <c r="G6" s="441"/>
      <c r="H6" s="441" t="s">
        <v>74</v>
      </c>
      <c r="I6" s="441"/>
      <c r="J6" s="442"/>
      <c r="K6" s="443" t="s">
        <v>154</v>
      </c>
      <c r="L6" s="445" t="s">
        <v>75</v>
      </c>
    </row>
    <row r="7" spans="2:12" ht="16.5" x14ac:dyDescent="0.3">
      <c r="B7" s="441"/>
      <c r="C7" s="441"/>
      <c r="D7" s="441"/>
      <c r="E7" s="300" t="s">
        <v>23</v>
      </c>
      <c r="F7" s="123" t="s">
        <v>20</v>
      </c>
      <c r="G7" s="123" t="s">
        <v>22</v>
      </c>
      <c r="H7" s="300" t="s">
        <v>23</v>
      </c>
      <c r="I7" s="300" t="s">
        <v>20</v>
      </c>
      <c r="J7" s="301" t="s">
        <v>22</v>
      </c>
      <c r="K7" s="444"/>
      <c r="L7" s="445"/>
    </row>
    <row r="8" spans="2:12" ht="16.5" x14ac:dyDescent="0.3">
      <c r="B8" s="123" t="s">
        <v>106</v>
      </c>
      <c r="C8" s="161" t="s">
        <v>1451</v>
      </c>
      <c r="D8" s="298" t="s">
        <v>175</v>
      </c>
      <c r="E8" s="311" t="s">
        <v>107</v>
      </c>
      <c r="F8" s="312" t="s">
        <v>1257</v>
      </c>
      <c r="G8" s="313">
        <v>50000</v>
      </c>
      <c r="H8" s="311" t="s">
        <v>107</v>
      </c>
      <c r="I8" s="312" t="s">
        <v>1397</v>
      </c>
      <c r="J8" s="314">
        <v>50000</v>
      </c>
      <c r="K8" s="315">
        <f t="shared" ref="K8:K41" si="0">G8+J8</f>
        <v>100000</v>
      </c>
      <c r="L8" s="316"/>
    </row>
    <row r="9" spans="2:12" ht="16.5" x14ac:dyDescent="0.3">
      <c r="B9" s="124"/>
      <c r="C9" s="125"/>
      <c r="D9" s="299"/>
      <c r="E9" s="317" t="s">
        <v>107</v>
      </c>
      <c r="F9" s="318" t="s">
        <v>1260</v>
      </c>
      <c r="G9" s="319">
        <v>50000</v>
      </c>
      <c r="H9" s="317" t="s">
        <v>107</v>
      </c>
      <c r="I9" s="318" t="s">
        <v>1355</v>
      </c>
      <c r="J9" s="320">
        <v>50000</v>
      </c>
      <c r="K9" s="321">
        <f t="shared" si="0"/>
        <v>100000</v>
      </c>
      <c r="L9" s="322"/>
    </row>
    <row r="10" spans="2:12" ht="16.5" x14ac:dyDescent="0.3">
      <c r="B10" s="124"/>
      <c r="C10" s="125"/>
      <c r="D10" s="299"/>
      <c r="E10" s="317" t="s">
        <v>107</v>
      </c>
      <c r="F10" s="318" t="s">
        <v>1391</v>
      </c>
      <c r="G10" s="319">
        <v>50000</v>
      </c>
      <c r="H10" s="317" t="s">
        <v>107</v>
      </c>
      <c r="I10" s="318" t="s">
        <v>1355</v>
      </c>
      <c r="J10" s="320">
        <v>50000</v>
      </c>
      <c r="K10" s="321">
        <f t="shared" si="0"/>
        <v>100000</v>
      </c>
      <c r="L10" s="322"/>
    </row>
    <row r="11" spans="2:12" ht="16.5" x14ac:dyDescent="0.3">
      <c r="B11" s="124"/>
      <c r="C11" s="125"/>
      <c r="D11" s="299"/>
      <c r="E11" s="317" t="s">
        <v>107</v>
      </c>
      <c r="F11" s="323" t="s">
        <v>1398</v>
      </c>
      <c r="G11" s="319">
        <v>50000</v>
      </c>
      <c r="H11" s="317" t="s">
        <v>107</v>
      </c>
      <c r="I11" s="318" t="s">
        <v>1355</v>
      </c>
      <c r="J11" s="320">
        <v>50000</v>
      </c>
      <c r="K11" s="321">
        <f t="shared" si="0"/>
        <v>100000</v>
      </c>
      <c r="L11" s="322"/>
    </row>
    <row r="12" spans="2:12" ht="16.5" x14ac:dyDescent="0.3">
      <c r="B12" s="124"/>
      <c r="C12" s="125"/>
      <c r="D12" s="299"/>
      <c r="E12" s="317" t="s">
        <v>107</v>
      </c>
      <c r="F12" s="323" t="s">
        <v>1195</v>
      </c>
      <c r="G12" s="319">
        <v>50000</v>
      </c>
      <c r="H12" s="317" t="s">
        <v>107</v>
      </c>
      <c r="I12" s="318" t="s">
        <v>1355</v>
      </c>
      <c r="J12" s="320">
        <v>50000</v>
      </c>
      <c r="K12" s="321">
        <f t="shared" si="0"/>
        <v>100000</v>
      </c>
      <c r="L12" s="322"/>
    </row>
    <row r="13" spans="2:12" ht="16.5" x14ac:dyDescent="0.3">
      <c r="B13" s="124"/>
      <c r="C13" s="125"/>
      <c r="D13" s="299"/>
      <c r="E13" s="317" t="s">
        <v>107</v>
      </c>
      <c r="F13" s="323" t="s">
        <v>1351</v>
      </c>
      <c r="G13" s="319">
        <v>50000</v>
      </c>
      <c r="H13" s="317" t="s">
        <v>107</v>
      </c>
      <c r="I13" s="318" t="s">
        <v>1355</v>
      </c>
      <c r="J13" s="320">
        <v>50000</v>
      </c>
      <c r="K13" s="321">
        <f t="shared" si="0"/>
        <v>100000</v>
      </c>
      <c r="L13" s="322"/>
    </row>
    <row r="14" spans="2:12" ht="16.5" x14ac:dyDescent="0.3">
      <c r="B14" s="124"/>
      <c r="C14" s="125"/>
      <c r="D14" s="299"/>
      <c r="E14" s="317" t="s">
        <v>107</v>
      </c>
      <c r="F14" s="318" t="s">
        <v>1288</v>
      </c>
      <c r="G14" s="319">
        <v>50000</v>
      </c>
      <c r="H14" s="317" t="s">
        <v>107</v>
      </c>
      <c r="I14" s="318" t="s">
        <v>1355</v>
      </c>
      <c r="J14" s="320">
        <v>50000</v>
      </c>
      <c r="K14" s="321">
        <f t="shared" si="0"/>
        <v>100000</v>
      </c>
      <c r="L14" s="322"/>
    </row>
    <row r="15" spans="2:12" ht="16.5" x14ac:dyDescent="0.3">
      <c r="B15" s="124"/>
      <c r="C15" s="125"/>
      <c r="D15" s="299"/>
      <c r="E15" s="317" t="s">
        <v>107</v>
      </c>
      <c r="F15" s="318" t="s">
        <v>1392</v>
      </c>
      <c r="G15" s="319">
        <v>50000</v>
      </c>
      <c r="H15" s="317" t="s">
        <v>107</v>
      </c>
      <c r="I15" s="318" t="s">
        <v>1355</v>
      </c>
      <c r="J15" s="320">
        <v>50000</v>
      </c>
      <c r="K15" s="321">
        <f t="shared" si="0"/>
        <v>100000</v>
      </c>
      <c r="L15" s="322"/>
    </row>
    <row r="16" spans="2:12" ht="16.5" x14ac:dyDescent="0.3">
      <c r="B16" s="124"/>
      <c r="C16" s="125"/>
      <c r="D16" s="299"/>
      <c r="E16" s="317" t="s">
        <v>107</v>
      </c>
      <c r="F16" s="318" t="s">
        <v>1272</v>
      </c>
      <c r="G16" s="319">
        <v>50000</v>
      </c>
      <c r="H16" s="317" t="s">
        <v>107</v>
      </c>
      <c r="I16" s="318" t="s">
        <v>1355</v>
      </c>
      <c r="J16" s="320">
        <v>50000</v>
      </c>
      <c r="K16" s="321">
        <f t="shared" si="0"/>
        <v>100000</v>
      </c>
      <c r="L16" s="322"/>
    </row>
    <row r="17" spans="2:12" ht="16.5" x14ac:dyDescent="0.3">
      <c r="B17" s="124"/>
      <c r="C17" s="125"/>
      <c r="D17" s="299"/>
      <c r="E17" s="317" t="s">
        <v>107</v>
      </c>
      <c r="F17" s="318" t="s">
        <v>1266</v>
      </c>
      <c r="G17" s="319">
        <v>50000</v>
      </c>
      <c r="H17" s="317" t="s">
        <v>107</v>
      </c>
      <c r="I17" s="318" t="s">
        <v>1355</v>
      </c>
      <c r="J17" s="320">
        <v>50000</v>
      </c>
      <c r="K17" s="321">
        <f t="shared" si="0"/>
        <v>100000</v>
      </c>
      <c r="L17" s="322"/>
    </row>
    <row r="18" spans="2:12" ht="16.5" x14ac:dyDescent="0.3">
      <c r="B18" s="124"/>
      <c r="C18" s="125"/>
      <c r="D18" s="299"/>
      <c r="E18" s="324" t="s">
        <v>107</v>
      </c>
      <c r="F18" s="325" t="s">
        <v>1269</v>
      </c>
      <c r="G18" s="326">
        <v>50000</v>
      </c>
      <c r="H18" s="324" t="s">
        <v>107</v>
      </c>
      <c r="I18" s="325" t="s">
        <v>1355</v>
      </c>
      <c r="J18" s="327">
        <v>50000</v>
      </c>
      <c r="K18" s="328">
        <f t="shared" si="0"/>
        <v>100000</v>
      </c>
      <c r="L18" s="329"/>
    </row>
    <row r="19" spans="2:12" ht="16.5" x14ac:dyDescent="0.3">
      <c r="B19" s="123" t="s">
        <v>106</v>
      </c>
      <c r="C19" s="161"/>
      <c r="D19" s="298" t="s">
        <v>175</v>
      </c>
      <c r="E19" s="311" t="s">
        <v>107</v>
      </c>
      <c r="F19" s="312" t="s">
        <v>1257</v>
      </c>
      <c r="G19" s="313">
        <v>150000</v>
      </c>
      <c r="H19" s="311" t="s">
        <v>107</v>
      </c>
      <c r="I19" s="312" t="s">
        <v>1399</v>
      </c>
      <c r="J19" s="314">
        <v>50000</v>
      </c>
      <c r="K19" s="315">
        <f t="shared" si="0"/>
        <v>200000</v>
      </c>
      <c r="L19" s="316"/>
    </row>
    <row r="20" spans="2:12" ht="16.5" x14ac:dyDescent="0.3">
      <c r="B20" s="124"/>
      <c r="C20" s="125"/>
      <c r="D20" s="299"/>
      <c r="E20" s="317" t="s">
        <v>107</v>
      </c>
      <c r="F20" s="318" t="s">
        <v>1260</v>
      </c>
      <c r="G20" s="319">
        <v>150000</v>
      </c>
      <c r="H20" s="317" t="s">
        <v>107</v>
      </c>
      <c r="I20" s="318" t="s">
        <v>1354</v>
      </c>
      <c r="J20" s="320">
        <v>50000</v>
      </c>
      <c r="K20" s="321">
        <f t="shared" si="0"/>
        <v>200000</v>
      </c>
      <c r="L20" s="322"/>
    </row>
    <row r="21" spans="2:12" ht="16.5" x14ac:dyDescent="0.3">
      <c r="B21" s="124"/>
      <c r="C21" s="125"/>
      <c r="D21" s="299"/>
      <c r="E21" s="317" t="s">
        <v>107</v>
      </c>
      <c r="F21" s="318" t="s">
        <v>1391</v>
      </c>
      <c r="G21" s="319">
        <v>150000</v>
      </c>
      <c r="H21" s="317" t="s">
        <v>107</v>
      </c>
      <c r="I21" s="318" t="s">
        <v>1354</v>
      </c>
      <c r="J21" s="320">
        <v>50000</v>
      </c>
      <c r="K21" s="321">
        <f t="shared" si="0"/>
        <v>200000</v>
      </c>
      <c r="L21" s="322"/>
    </row>
    <row r="22" spans="2:12" ht="16.5" x14ac:dyDescent="0.3">
      <c r="B22" s="124"/>
      <c r="C22" s="125"/>
      <c r="D22" s="299"/>
      <c r="E22" s="317" t="s">
        <v>107</v>
      </c>
      <c r="F22" s="323" t="s">
        <v>1398</v>
      </c>
      <c r="G22" s="319">
        <v>150000</v>
      </c>
      <c r="H22" s="317" t="s">
        <v>107</v>
      </c>
      <c r="I22" s="318" t="s">
        <v>1354</v>
      </c>
      <c r="J22" s="320">
        <v>50000</v>
      </c>
      <c r="K22" s="321">
        <f t="shared" si="0"/>
        <v>200000</v>
      </c>
      <c r="L22" s="322"/>
    </row>
    <row r="23" spans="2:12" ht="16.5" x14ac:dyDescent="0.3">
      <c r="B23" s="124"/>
      <c r="C23" s="125"/>
      <c r="D23" s="299"/>
      <c r="E23" s="317" t="s">
        <v>107</v>
      </c>
      <c r="F23" s="323" t="s">
        <v>1195</v>
      </c>
      <c r="G23" s="319">
        <v>150000</v>
      </c>
      <c r="H23" s="317" t="s">
        <v>107</v>
      </c>
      <c r="I23" s="318" t="s">
        <v>1354</v>
      </c>
      <c r="J23" s="320">
        <v>50000</v>
      </c>
      <c r="K23" s="321">
        <f t="shared" si="0"/>
        <v>200000</v>
      </c>
      <c r="L23" s="322"/>
    </row>
    <row r="24" spans="2:12" ht="16.5" x14ac:dyDescent="0.3">
      <c r="B24" s="124"/>
      <c r="C24" s="125"/>
      <c r="D24" s="299"/>
      <c r="E24" s="317" t="s">
        <v>107</v>
      </c>
      <c r="F24" s="323" t="s">
        <v>1351</v>
      </c>
      <c r="G24" s="319">
        <v>150000</v>
      </c>
      <c r="H24" s="317" t="s">
        <v>107</v>
      </c>
      <c r="I24" s="318" t="s">
        <v>1354</v>
      </c>
      <c r="J24" s="320">
        <v>50000</v>
      </c>
      <c r="K24" s="321">
        <f t="shared" si="0"/>
        <v>200000</v>
      </c>
      <c r="L24" s="322"/>
    </row>
    <row r="25" spans="2:12" ht="16.5" x14ac:dyDescent="0.3">
      <c r="B25" s="124"/>
      <c r="C25" s="125"/>
      <c r="D25" s="299"/>
      <c r="E25" s="317" t="s">
        <v>107</v>
      </c>
      <c r="F25" s="318" t="s">
        <v>1288</v>
      </c>
      <c r="G25" s="319">
        <v>150000</v>
      </c>
      <c r="H25" s="317" t="s">
        <v>107</v>
      </c>
      <c r="I25" s="318" t="s">
        <v>1354</v>
      </c>
      <c r="J25" s="320">
        <v>50000</v>
      </c>
      <c r="K25" s="321">
        <f t="shared" si="0"/>
        <v>200000</v>
      </c>
      <c r="L25" s="322"/>
    </row>
    <row r="26" spans="2:12" ht="16.5" x14ac:dyDescent="0.3">
      <c r="B26" s="124"/>
      <c r="C26" s="125"/>
      <c r="D26" s="299"/>
      <c r="E26" s="317" t="s">
        <v>107</v>
      </c>
      <c r="F26" s="318" t="s">
        <v>1392</v>
      </c>
      <c r="G26" s="319">
        <v>150000</v>
      </c>
      <c r="H26" s="317" t="s">
        <v>107</v>
      </c>
      <c r="I26" s="318" t="s">
        <v>1354</v>
      </c>
      <c r="J26" s="320">
        <v>50000</v>
      </c>
      <c r="K26" s="321">
        <f t="shared" si="0"/>
        <v>200000</v>
      </c>
      <c r="L26" s="322"/>
    </row>
    <row r="27" spans="2:12" ht="16.5" x14ac:dyDescent="0.3">
      <c r="B27" s="124"/>
      <c r="C27" s="125"/>
      <c r="D27" s="299"/>
      <c r="E27" s="317" t="s">
        <v>107</v>
      </c>
      <c r="F27" s="318" t="s">
        <v>1272</v>
      </c>
      <c r="G27" s="319">
        <v>150000</v>
      </c>
      <c r="H27" s="317" t="s">
        <v>107</v>
      </c>
      <c r="I27" s="318" t="s">
        <v>1354</v>
      </c>
      <c r="J27" s="320">
        <v>50000</v>
      </c>
      <c r="K27" s="321">
        <f t="shared" si="0"/>
        <v>200000</v>
      </c>
      <c r="L27" s="322"/>
    </row>
    <row r="28" spans="2:12" ht="16.5" x14ac:dyDescent="0.3">
      <c r="B28" s="124"/>
      <c r="C28" s="125"/>
      <c r="D28" s="299"/>
      <c r="E28" s="317" t="s">
        <v>107</v>
      </c>
      <c r="F28" s="318" t="s">
        <v>1266</v>
      </c>
      <c r="G28" s="319">
        <v>150000</v>
      </c>
      <c r="H28" s="317" t="s">
        <v>107</v>
      </c>
      <c r="I28" s="318" t="s">
        <v>1354</v>
      </c>
      <c r="J28" s="320">
        <v>50000</v>
      </c>
      <c r="K28" s="321">
        <f t="shared" si="0"/>
        <v>200000</v>
      </c>
      <c r="L28" s="322"/>
    </row>
    <row r="29" spans="2:12" ht="16.5" x14ac:dyDescent="0.3">
      <c r="B29" s="124"/>
      <c r="C29" s="125"/>
      <c r="D29" s="299"/>
      <c r="E29" s="324" t="s">
        <v>107</v>
      </c>
      <c r="F29" s="325" t="s">
        <v>1269</v>
      </c>
      <c r="G29" s="326">
        <v>150000</v>
      </c>
      <c r="H29" s="324" t="s">
        <v>107</v>
      </c>
      <c r="I29" s="325" t="s">
        <v>1354</v>
      </c>
      <c r="J29" s="327">
        <v>50000</v>
      </c>
      <c r="K29" s="328">
        <f t="shared" si="0"/>
        <v>200000</v>
      </c>
      <c r="L29" s="329"/>
    </row>
    <row r="30" spans="2:12" ht="16.5" x14ac:dyDescent="0.3">
      <c r="B30" s="123" t="s">
        <v>106</v>
      </c>
      <c r="C30" s="161"/>
      <c r="D30" s="298" t="s">
        <v>175</v>
      </c>
      <c r="E30" s="126" t="s">
        <v>107</v>
      </c>
      <c r="F30" s="221" t="s">
        <v>150</v>
      </c>
      <c r="G30" s="239">
        <v>500000</v>
      </c>
      <c r="H30" s="126" t="s">
        <v>107</v>
      </c>
      <c r="I30" s="221" t="s">
        <v>1363</v>
      </c>
      <c r="J30" s="240">
        <v>400000</v>
      </c>
      <c r="K30" s="136">
        <f t="shared" si="0"/>
        <v>900000</v>
      </c>
      <c r="L30" s="222"/>
    </row>
    <row r="31" spans="2:12" ht="16.5" x14ac:dyDescent="0.3">
      <c r="B31" s="124"/>
      <c r="C31" s="125"/>
      <c r="D31" s="299"/>
      <c r="E31" s="189" t="s">
        <v>107</v>
      </c>
      <c r="F31" s="141" t="s">
        <v>109</v>
      </c>
      <c r="G31" s="241">
        <v>500000</v>
      </c>
      <c r="H31" s="189" t="s">
        <v>107</v>
      </c>
      <c r="I31" s="141" t="s">
        <v>1156</v>
      </c>
      <c r="J31" s="242">
        <v>400000</v>
      </c>
      <c r="K31" s="137">
        <f t="shared" si="0"/>
        <v>900000</v>
      </c>
      <c r="L31" s="142"/>
    </row>
    <row r="32" spans="2:12" ht="16.5" x14ac:dyDescent="0.3">
      <c r="B32" s="124"/>
      <c r="C32" s="125"/>
      <c r="D32" s="299"/>
      <c r="E32" s="189" t="s">
        <v>107</v>
      </c>
      <c r="F32" s="141" t="s">
        <v>111</v>
      </c>
      <c r="G32" s="241">
        <v>500000</v>
      </c>
      <c r="H32" s="189" t="s">
        <v>107</v>
      </c>
      <c r="I32" s="141" t="s">
        <v>1156</v>
      </c>
      <c r="J32" s="242">
        <v>400000</v>
      </c>
      <c r="K32" s="137">
        <f t="shared" si="0"/>
        <v>900000</v>
      </c>
      <c r="L32" s="142"/>
    </row>
    <row r="33" spans="2:12" ht="16.5" x14ac:dyDescent="0.3">
      <c r="B33" s="124"/>
      <c r="C33" s="125"/>
      <c r="D33" s="299"/>
      <c r="E33" s="189" t="s">
        <v>107</v>
      </c>
      <c r="F33" s="141" t="s">
        <v>112</v>
      </c>
      <c r="G33" s="241">
        <v>500000</v>
      </c>
      <c r="H33" s="189" t="s">
        <v>107</v>
      </c>
      <c r="I33" s="141" t="s">
        <v>1156</v>
      </c>
      <c r="J33" s="242">
        <v>400000</v>
      </c>
      <c r="K33" s="137">
        <f t="shared" si="0"/>
        <v>900000</v>
      </c>
      <c r="L33" s="142"/>
    </row>
    <row r="34" spans="2:12" ht="16.5" x14ac:dyDescent="0.3">
      <c r="B34" s="124"/>
      <c r="C34" s="125"/>
      <c r="D34" s="299"/>
      <c r="E34" s="189" t="s">
        <v>107</v>
      </c>
      <c r="F34" s="141" t="s">
        <v>113</v>
      </c>
      <c r="G34" s="241">
        <v>500000</v>
      </c>
      <c r="H34" s="189" t="s">
        <v>107</v>
      </c>
      <c r="I34" s="141" t="s">
        <v>1156</v>
      </c>
      <c r="J34" s="242">
        <v>400000</v>
      </c>
      <c r="K34" s="137">
        <f t="shared" si="0"/>
        <v>900000</v>
      </c>
      <c r="L34" s="142"/>
    </row>
    <row r="35" spans="2:12" ht="16.5" x14ac:dyDescent="0.3">
      <c r="B35" s="124"/>
      <c r="C35" s="125"/>
      <c r="D35" s="299"/>
      <c r="E35" s="189" t="s">
        <v>107</v>
      </c>
      <c r="F35" s="141" t="s">
        <v>1162</v>
      </c>
      <c r="G35" s="241">
        <v>500000</v>
      </c>
      <c r="H35" s="189" t="s">
        <v>107</v>
      </c>
      <c r="I35" s="141" t="s">
        <v>1156</v>
      </c>
      <c r="J35" s="242">
        <v>400000</v>
      </c>
      <c r="K35" s="137">
        <f t="shared" si="0"/>
        <v>900000</v>
      </c>
      <c r="L35" s="142"/>
    </row>
    <row r="36" spans="2:12" ht="16.5" x14ac:dyDescent="0.3">
      <c r="B36" s="124"/>
      <c r="C36" s="125"/>
      <c r="D36" s="299"/>
      <c r="E36" s="189" t="s">
        <v>107</v>
      </c>
      <c r="F36" s="141" t="s">
        <v>1164</v>
      </c>
      <c r="G36" s="241">
        <v>500000</v>
      </c>
      <c r="H36" s="189" t="s">
        <v>107</v>
      </c>
      <c r="I36" s="141" t="s">
        <v>1156</v>
      </c>
      <c r="J36" s="242">
        <v>400000</v>
      </c>
      <c r="K36" s="137">
        <f t="shared" si="0"/>
        <v>900000</v>
      </c>
      <c r="L36" s="142"/>
    </row>
    <row r="37" spans="2:12" ht="16.5" x14ac:dyDescent="0.3">
      <c r="B37" s="124"/>
      <c r="C37" s="125"/>
      <c r="D37" s="299"/>
      <c r="E37" s="189" t="s">
        <v>107</v>
      </c>
      <c r="F37" s="141" t="s">
        <v>116</v>
      </c>
      <c r="G37" s="241">
        <v>500000</v>
      </c>
      <c r="H37" s="189" t="s">
        <v>107</v>
      </c>
      <c r="I37" s="141" t="s">
        <v>1156</v>
      </c>
      <c r="J37" s="242">
        <v>400000</v>
      </c>
      <c r="K37" s="137">
        <f t="shared" si="0"/>
        <v>900000</v>
      </c>
      <c r="L37" s="142"/>
    </row>
    <row r="38" spans="2:12" ht="16.5" x14ac:dyDescent="0.3">
      <c r="B38" s="124"/>
      <c r="C38" s="125"/>
      <c r="D38" s="299"/>
      <c r="E38" s="189" t="s">
        <v>107</v>
      </c>
      <c r="F38" s="141" t="s">
        <v>117</v>
      </c>
      <c r="G38" s="241">
        <v>500000</v>
      </c>
      <c r="H38" s="189" t="s">
        <v>107</v>
      </c>
      <c r="I38" s="141" t="s">
        <v>1156</v>
      </c>
      <c r="J38" s="242">
        <v>400000</v>
      </c>
      <c r="K38" s="137">
        <f t="shared" si="0"/>
        <v>900000</v>
      </c>
      <c r="L38" s="142"/>
    </row>
    <row r="39" spans="2:12" ht="16.5" x14ac:dyDescent="0.3">
      <c r="B39" s="124"/>
      <c r="C39" s="125"/>
      <c r="D39" s="299"/>
      <c r="E39" s="189" t="s">
        <v>107</v>
      </c>
      <c r="F39" s="141" t="s">
        <v>1187</v>
      </c>
      <c r="G39" s="241">
        <v>500000</v>
      </c>
      <c r="H39" s="189" t="s">
        <v>107</v>
      </c>
      <c r="I39" s="141" t="s">
        <v>1156</v>
      </c>
      <c r="J39" s="242">
        <v>400000</v>
      </c>
      <c r="K39" s="137">
        <f t="shared" si="0"/>
        <v>900000</v>
      </c>
      <c r="L39" s="142"/>
    </row>
    <row r="40" spans="2:12" ht="16.5" x14ac:dyDescent="0.3">
      <c r="B40" s="124"/>
      <c r="C40" s="125"/>
      <c r="D40" s="299"/>
      <c r="E40" s="189" t="s">
        <v>107</v>
      </c>
      <c r="F40" s="141" t="s">
        <v>1188</v>
      </c>
      <c r="G40" s="241">
        <v>500000</v>
      </c>
      <c r="H40" s="189" t="s">
        <v>107</v>
      </c>
      <c r="I40" s="141" t="s">
        <v>1156</v>
      </c>
      <c r="J40" s="242">
        <v>400000</v>
      </c>
      <c r="K40" s="137">
        <f t="shared" si="0"/>
        <v>900000</v>
      </c>
      <c r="L40" s="142"/>
    </row>
    <row r="41" spans="2:12" ht="16.5" x14ac:dyDescent="0.3">
      <c r="B41" s="124"/>
      <c r="C41" s="125"/>
      <c r="D41" s="299"/>
      <c r="E41" s="165" t="s">
        <v>107</v>
      </c>
      <c r="F41" s="143" t="s">
        <v>155</v>
      </c>
      <c r="G41" s="243">
        <v>500000</v>
      </c>
      <c r="H41" s="165" t="s">
        <v>107</v>
      </c>
      <c r="I41" s="143" t="s">
        <v>1156</v>
      </c>
      <c r="J41" s="244">
        <v>400000</v>
      </c>
      <c r="K41" s="138">
        <f t="shared" si="0"/>
        <v>900000</v>
      </c>
      <c r="L41" s="144"/>
    </row>
    <row r="42" spans="2:12" ht="16.5" x14ac:dyDescent="0.3">
      <c r="B42" s="124"/>
      <c r="C42" s="125"/>
      <c r="D42" s="299"/>
      <c r="E42" s="126" t="s">
        <v>160</v>
      </c>
      <c r="F42" s="127" t="s">
        <v>150</v>
      </c>
      <c r="G42" s="239">
        <v>100000</v>
      </c>
      <c r="H42" s="126" t="s">
        <v>107</v>
      </c>
      <c r="I42" s="221" t="s">
        <v>1183</v>
      </c>
      <c r="J42" s="240">
        <v>50000</v>
      </c>
      <c r="K42" s="136">
        <f>G42+J42</f>
        <v>150000</v>
      </c>
      <c r="L42" s="128"/>
    </row>
    <row r="43" spans="2:12" ht="16.5" x14ac:dyDescent="0.3">
      <c r="B43" s="124"/>
      <c r="C43" s="125"/>
      <c r="D43" s="299"/>
      <c r="E43" s="189" t="s">
        <v>160</v>
      </c>
      <c r="F43" s="129" t="s">
        <v>109</v>
      </c>
      <c r="G43" s="241">
        <v>100000</v>
      </c>
      <c r="H43" s="189" t="s">
        <v>107</v>
      </c>
      <c r="I43" s="141" t="s">
        <v>1183</v>
      </c>
      <c r="J43" s="242">
        <v>50000</v>
      </c>
      <c r="K43" s="137">
        <f t="shared" ref="K43:K50" si="1">G43+J43</f>
        <v>150000</v>
      </c>
      <c r="L43" s="130"/>
    </row>
    <row r="44" spans="2:12" ht="16.5" x14ac:dyDescent="0.3">
      <c r="B44" s="124"/>
      <c r="C44" s="125"/>
      <c r="D44" s="299"/>
      <c r="E44" s="189" t="s">
        <v>160</v>
      </c>
      <c r="F44" s="129" t="s">
        <v>1351</v>
      </c>
      <c r="G44" s="241">
        <v>100000</v>
      </c>
      <c r="H44" s="189" t="s">
        <v>107</v>
      </c>
      <c r="I44" s="141" t="s">
        <v>1183</v>
      </c>
      <c r="J44" s="242">
        <v>50000</v>
      </c>
      <c r="K44" s="137">
        <f t="shared" si="1"/>
        <v>150000</v>
      </c>
      <c r="L44" s="130"/>
    </row>
    <row r="45" spans="2:12" ht="16.5" x14ac:dyDescent="0.3">
      <c r="B45" s="124"/>
      <c r="C45" s="125"/>
      <c r="D45" s="299"/>
      <c r="E45" s="189" t="s">
        <v>160</v>
      </c>
      <c r="F45" s="129" t="s">
        <v>112</v>
      </c>
      <c r="G45" s="241">
        <v>100000</v>
      </c>
      <c r="H45" s="189" t="s">
        <v>107</v>
      </c>
      <c r="I45" s="141" t="s">
        <v>1183</v>
      </c>
      <c r="J45" s="242">
        <v>50000</v>
      </c>
      <c r="K45" s="137">
        <f t="shared" si="1"/>
        <v>150000</v>
      </c>
      <c r="L45" s="130"/>
    </row>
    <row r="46" spans="2:12" ht="16.5" x14ac:dyDescent="0.3">
      <c r="B46" s="124"/>
      <c r="C46" s="125"/>
      <c r="D46" s="299"/>
      <c r="E46" s="189" t="s">
        <v>160</v>
      </c>
      <c r="F46" s="129" t="s">
        <v>113</v>
      </c>
      <c r="G46" s="241">
        <v>100000</v>
      </c>
      <c r="H46" s="189" t="s">
        <v>107</v>
      </c>
      <c r="I46" s="141" t="s">
        <v>1183</v>
      </c>
      <c r="J46" s="242">
        <v>50000</v>
      </c>
      <c r="K46" s="137">
        <f t="shared" si="1"/>
        <v>150000</v>
      </c>
      <c r="L46" s="130"/>
    </row>
    <row r="47" spans="2:12" ht="16.5" x14ac:dyDescent="0.3">
      <c r="B47" s="124"/>
      <c r="C47" s="125"/>
      <c r="D47" s="299"/>
      <c r="E47" s="189" t="s">
        <v>160</v>
      </c>
      <c r="F47" s="129" t="s">
        <v>1162</v>
      </c>
      <c r="G47" s="241">
        <v>100000</v>
      </c>
      <c r="H47" s="189" t="s">
        <v>107</v>
      </c>
      <c r="I47" s="141" t="s">
        <v>1183</v>
      </c>
      <c r="J47" s="242">
        <v>50000</v>
      </c>
      <c r="K47" s="137">
        <f t="shared" si="1"/>
        <v>150000</v>
      </c>
      <c r="L47" s="130"/>
    </row>
    <row r="48" spans="2:12" ht="16.5" x14ac:dyDescent="0.3">
      <c r="B48" s="124"/>
      <c r="C48" s="125"/>
      <c r="D48" s="299"/>
      <c r="E48" s="189" t="s">
        <v>160</v>
      </c>
      <c r="F48" s="129" t="s">
        <v>1164</v>
      </c>
      <c r="G48" s="241">
        <v>100000</v>
      </c>
      <c r="H48" s="189" t="s">
        <v>107</v>
      </c>
      <c r="I48" s="141" t="s">
        <v>1183</v>
      </c>
      <c r="J48" s="242">
        <v>50000</v>
      </c>
      <c r="K48" s="137">
        <f t="shared" si="1"/>
        <v>150000</v>
      </c>
      <c r="L48" s="130"/>
    </row>
    <row r="49" spans="2:16" ht="16.5" x14ac:dyDescent="0.3">
      <c r="B49" s="124"/>
      <c r="C49" s="125"/>
      <c r="D49" s="299"/>
      <c r="E49" s="189" t="s">
        <v>160</v>
      </c>
      <c r="F49" s="149" t="s">
        <v>116</v>
      </c>
      <c r="G49" s="241">
        <v>100000</v>
      </c>
      <c r="H49" s="189" t="s">
        <v>107</v>
      </c>
      <c r="I49" s="141" t="s">
        <v>1183</v>
      </c>
      <c r="J49" s="242">
        <v>50000</v>
      </c>
      <c r="K49" s="137">
        <f t="shared" si="1"/>
        <v>150000</v>
      </c>
      <c r="L49" s="154"/>
    </row>
    <row r="50" spans="2:16" ht="16.5" x14ac:dyDescent="0.3">
      <c r="B50" s="124"/>
      <c r="C50" s="125"/>
      <c r="D50" s="299"/>
      <c r="E50" s="189" t="s">
        <v>160</v>
      </c>
      <c r="F50" s="129" t="s">
        <v>117</v>
      </c>
      <c r="G50" s="241">
        <v>100000</v>
      </c>
      <c r="H50" s="189" t="s">
        <v>107</v>
      </c>
      <c r="I50" s="141" t="s">
        <v>1183</v>
      </c>
      <c r="J50" s="242">
        <v>50000</v>
      </c>
      <c r="K50" s="137">
        <f t="shared" si="1"/>
        <v>150000</v>
      </c>
      <c r="L50" s="130"/>
    </row>
    <row r="51" spans="2:16" ht="16.5" x14ac:dyDescent="0.3">
      <c r="B51" s="124"/>
      <c r="C51" s="125"/>
      <c r="D51" s="299"/>
      <c r="E51" s="189" t="s">
        <v>160</v>
      </c>
      <c r="F51" s="141" t="s">
        <v>1187</v>
      </c>
      <c r="G51" s="241">
        <v>100000</v>
      </c>
      <c r="H51" s="189" t="s">
        <v>107</v>
      </c>
      <c r="I51" s="141" t="s">
        <v>1183</v>
      </c>
      <c r="J51" s="242">
        <v>50000</v>
      </c>
      <c r="K51" s="137">
        <f>G51+J51</f>
        <v>150000</v>
      </c>
      <c r="L51" s="142"/>
    </row>
    <row r="52" spans="2:16" s="5" customFormat="1" ht="16.5" x14ac:dyDescent="0.3">
      <c r="B52" s="124"/>
      <c r="C52" s="125"/>
      <c r="D52" s="299"/>
      <c r="E52" s="189" t="s">
        <v>160</v>
      </c>
      <c r="F52" s="141" t="s">
        <v>1188</v>
      </c>
      <c r="G52" s="241">
        <v>100000</v>
      </c>
      <c r="H52" s="189" t="s">
        <v>107</v>
      </c>
      <c r="I52" s="141" t="s">
        <v>1183</v>
      </c>
      <c r="J52" s="242">
        <v>50000</v>
      </c>
      <c r="K52" s="137">
        <f t="shared" ref="K52:K53" si="2">G52+J52</f>
        <v>150000</v>
      </c>
      <c r="L52" s="142"/>
      <c r="N52" s="1"/>
      <c r="O52" s="1"/>
      <c r="P52" s="1"/>
    </row>
    <row r="53" spans="2:16" ht="16.5" x14ac:dyDescent="0.3">
      <c r="B53" s="218"/>
      <c r="C53" s="219"/>
      <c r="D53" s="220"/>
      <c r="E53" s="165" t="s">
        <v>160</v>
      </c>
      <c r="F53" s="143" t="s">
        <v>155</v>
      </c>
      <c r="G53" s="243">
        <v>100000</v>
      </c>
      <c r="H53" s="165" t="s">
        <v>107</v>
      </c>
      <c r="I53" s="143" t="s">
        <v>1183</v>
      </c>
      <c r="J53" s="244">
        <v>50000</v>
      </c>
      <c r="K53" s="138">
        <f t="shared" si="2"/>
        <v>150000</v>
      </c>
      <c r="L53" s="144"/>
    </row>
    <row r="54" spans="2:16" ht="16.5" x14ac:dyDescent="0.3">
      <c r="B54" s="176"/>
      <c r="C54" s="177"/>
      <c r="D54" s="330"/>
      <c r="E54" s="176"/>
      <c r="F54" s="331"/>
      <c r="G54" s="332"/>
      <c r="H54" s="176"/>
      <c r="I54" s="331"/>
      <c r="J54" s="332"/>
      <c r="K54" s="333"/>
      <c r="L54" s="176"/>
    </row>
    <row r="55" spans="2:16" ht="18.600000000000001" customHeight="1" x14ac:dyDescent="0.3">
      <c r="B55" s="308" t="s">
        <v>1410</v>
      </c>
      <c r="C55" s="309"/>
      <c r="D55" s="308"/>
      <c r="E55" s="310"/>
      <c r="F55" s="310"/>
      <c r="G55" s="310"/>
      <c r="H55" s="310"/>
      <c r="I55" s="310"/>
      <c r="J55" s="310"/>
      <c r="K55" s="310"/>
      <c r="L55" s="310"/>
    </row>
    <row r="56" spans="2:16" ht="18.600000000000001" customHeight="1" x14ac:dyDescent="0.3">
      <c r="B56" s="425" t="s">
        <v>70</v>
      </c>
      <c r="C56" s="429" t="s">
        <v>71</v>
      </c>
      <c r="D56" s="425" t="s">
        <v>72</v>
      </c>
      <c r="E56" s="425" t="s">
        <v>73</v>
      </c>
      <c r="F56" s="425"/>
      <c r="G56" s="425"/>
      <c r="H56" s="441" t="s">
        <v>74</v>
      </c>
      <c r="I56" s="441"/>
      <c r="J56" s="442"/>
      <c r="K56" s="423" t="s">
        <v>1159</v>
      </c>
      <c r="L56" s="425" t="s">
        <v>75</v>
      </c>
    </row>
    <row r="57" spans="2:16" ht="18.600000000000001" customHeight="1" x14ac:dyDescent="0.3">
      <c r="B57" s="425"/>
      <c r="C57" s="429"/>
      <c r="D57" s="425"/>
      <c r="E57" s="352" t="s">
        <v>23</v>
      </c>
      <c r="F57" s="352" t="s">
        <v>20</v>
      </c>
      <c r="G57" s="352" t="s">
        <v>22</v>
      </c>
      <c r="H57" s="352" t="s">
        <v>23</v>
      </c>
      <c r="I57" s="352" t="s">
        <v>20</v>
      </c>
      <c r="J57" s="352" t="s">
        <v>22</v>
      </c>
      <c r="K57" s="424"/>
      <c r="L57" s="425"/>
    </row>
    <row r="58" spans="2:16" ht="18.600000000000001" customHeight="1" x14ac:dyDescent="0.3">
      <c r="B58" s="264" t="s">
        <v>167</v>
      </c>
      <c r="C58" s="265" t="s">
        <v>1415</v>
      </c>
      <c r="D58" s="139" t="s">
        <v>1389</v>
      </c>
      <c r="E58" s="139" t="s">
        <v>47</v>
      </c>
      <c r="F58" s="266" t="s">
        <v>1375</v>
      </c>
      <c r="G58" s="267">
        <v>149000</v>
      </c>
      <c r="H58" s="352" t="s">
        <v>47</v>
      </c>
      <c r="I58" s="266" t="s">
        <v>1385</v>
      </c>
      <c r="J58" s="267">
        <v>0</v>
      </c>
      <c r="K58" s="159">
        <f t="shared" ref="K58:K67" si="3">G58+J58</f>
        <v>149000</v>
      </c>
      <c r="L58" s="268"/>
      <c r="N58" s="182"/>
    </row>
    <row r="59" spans="2:16" ht="18.600000000000001" customHeight="1" x14ac:dyDescent="0.3">
      <c r="B59" s="264" t="s">
        <v>167</v>
      </c>
      <c r="C59" s="265" t="s">
        <v>1420</v>
      </c>
      <c r="D59" s="139" t="s">
        <v>1389</v>
      </c>
      <c r="E59" s="139" t="s">
        <v>47</v>
      </c>
      <c r="F59" s="266" t="s">
        <v>1376</v>
      </c>
      <c r="G59" s="267">
        <v>149000</v>
      </c>
      <c r="H59" s="352" t="s">
        <v>47</v>
      </c>
      <c r="I59" s="266" t="s">
        <v>1386</v>
      </c>
      <c r="J59" s="267">
        <v>0</v>
      </c>
      <c r="K59" s="159">
        <f t="shared" si="3"/>
        <v>149000</v>
      </c>
      <c r="L59" s="268"/>
      <c r="N59" s="182"/>
    </row>
    <row r="60" spans="2:16" ht="18.600000000000001" customHeight="1" x14ac:dyDescent="0.3">
      <c r="B60" s="264" t="s">
        <v>167</v>
      </c>
      <c r="C60" s="265" t="s">
        <v>1420</v>
      </c>
      <c r="D60" s="139" t="s">
        <v>1389</v>
      </c>
      <c r="E60" s="139" t="s">
        <v>47</v>
      </c>
      <c r="F60" s="266" t="s">
        <v>1377</v>
      </c>
      <c r="G60" s="267">
        <v>149000</v>
      </c>
      <c r="H60" s="352" t="s">
        <v>47</v>
      </c>
      <c r="I60" s="266" t="s">
        <v>1387</v>
      </c>
      <c r="J60" s="267">
        <v>0</v>
      </c>
      <c r="K60" s="159">
        <f t="shared" si="3"/>
        <v>149000</v>
      </c>
      <c r="L60" s="268"/>
      <c r="N60" s="182"/>
    </row>
    <row r="61" spans="2:16" ht="18.600000000000001" customHeight="1" x14ac:dyDescent="0.3">
      <c r="B61" s="264" t="s">
        <v>167</v>
      </c>
      <c r="C61" s="265" t="s">
        <v>1420</v>
      </c>
      <c r="D61" s="139" t="s">
        <v>1389</v>
      </c>
      <c r="E61" s="139" t="s">
        <v>47</v>
      </c>
      <c r="F61" s="266" t="s">
        <v>1378</v>
      </c>
      <c r="G61" s="267">
        <v>149000</v>
      </c>
      <c r="H61" s="352" t="s">
        <v>47</v>
      </c>
      <c r="I61" s="266" t="s">
        <v>1388</v>
      </c>
      <c r="J61" s="267">
        <v>0</v>
      </c>
      <c r="K61" s="159">
        <f t="shared" si="3"/>
        <v>149000</v>
      </c>
      <c r="L61" s="268"/>
      <c r="N61" s="182"/>
    </row>
    <row r="62" spans="2:16" ht="18.600000000000001" customHeight="1" x14ac:dyDescent="0.3">
      <c r="B62" s="264" t="s">
        <v>167</v>
      </c>
      <c r="C62" s="265" t="s">
        <v>1420</v>
      </c>
      <c r="D62" s="139" t="s">
        <v>1389</v>
      </c>
      <c r="E62" s="139" t="s">
        <v>47</v>
      </c>
      <c r="F62" s="266" t="s">
        <v>1379</v>
      </c>
      <c r="G62" s="267">
        <v>149000</v>
      </c>
      <c r="H62" s="352" t="s">
        <v>47</v>
      </c>
      <c r="I62" s="266" t="s">
        <v>1387</v>
      </c>
      <c r="J62" s="267">
        <v>0</v>
      </c>
      <c r="K62" s="159">
        <f t="shared" si="3"/>
        <v>149000</v>
      </c>
      <c r="L62" s="268"/>
      <c r="N62" s="182"/>
    </row>
    <row r="63" spans="2:16" ht="18.600000000000001" customHeight="1" x14ac:dyDescent="0.3">
      <c r="B63" s="264" t="s">
        <v>167</v>
      </c>
      <c r="C63" s="265" t="s">
        <v>1420</v>
      </c>
      <c r="D63" s="139" t="s">
        <v>1389</v>
      </c>
      <c r="E63" s="139" t="s">
        <v>47</v>
      </c>
      <c r="F63" s="266" t="s">
        <v>1380</v>
      </c>
      <c r="G63" s="267">
        <v>149000</v>
      </c>
      <c r="H63" s="352" t="s">
        <v>47</v>
      </c>
      <c r="I63" s="266" t="s">
        <v>1387</v>
      </c>
      <c r="J63" s="267">
        <v>0</v>
      </c>
      <c r="K63" s="159">
        <f t="shared" si="3"/>
        <v>149000</v>
      </c>
      <c r="L63" s="268"/>
      <c r="N63" s="182"/>
    </row>
    <row r="64" spans="2:16" ht="18.600000000000001" customHeight="1" x14ac:dyDescent="0.3">
      <c r="B64" s="264" t="s">
        <v>167</v>
      </c>
      <c r="C64" s="265" t="s">
        <v>1420</v>
      </c>
      <c r="D64" s="139" t="s">
        <v>1389</v>
      </c>
      <c r="E64" s="139" t="s">
        <v>47</v>
      </c>
      <c r="F64" s="266" t="s">
        <v>1381</v>
      </c>
      <c r="G64" s="267">
        <v>149000</v>
      </c>
      <c r="H64" s="352" t="s">
        <v>47</v>
      </c>
      <c r="I64" s="266" t="s">
        <v>1385</v>
      </c>
      <c r="J64" s="267">
        <v>0</v>
      </c>
      <c r="K64" s="159">
        <f t="shared" si="3"/>
        <v>149000</v>
      </c>
      <c r="L64" s="268"/>
      <c r="N64" s="182"/>
    </row>
    <row r="65" spans="2:14" ht="18.600000000000001" customHeight="1" x14ac:dyDescent="0.3">
      <c r="B65" s="264" t="s">
        <v>167</v>
      </c>
      <c r="C65" s="265" t="s">
        <v>1420</v>
      </c>
      <c r="D65" s="139" t="s">
        <v>1389</v>
      </c>
      <c r="E65" s="139" t="s">
        <v>47</v>
      </c>
      <c r="F65" s="266" t="s">
        <v>1382</v>
      </c>
      <c r="G65" s="267">
        <v>149000</v>
      </c>
      <c r="H65" s="352" t="s">
        <v>47</v>
      </c>
      <c r="I65" s="266" t="s">
        <v>1386</v>
      </c>
      <c r="J65" s="267">
        <v>0</v>
      </c>
      <c r="K65" s="159">
        <f t="shared" si="3"/>
        <v>149000</v>
      </c>
      <c r="L65" s="268"/>
      <c r="N65" s="182"/>
    </row>
    <row r="66" spans="2:14" ht="18.600000000000001" customHeight="1" x14ac:dyDescent="0.3">
      <c r="B66" s="264" t="s">
        <v>167</v>
      </c>
      <c r="C66" s="265" t="s">
        <v>1420</v>
      </c>
      <c r="D66" s="139" t="s">
        <v>1389</v>
      </c>
      <c r="E66" s="139" t="s">
        <v>47</v>
      </c>
      <c r="F66" s="266" t="s">
        <v>1383</v>
      </c>
      <c r="G66" s="267">
        <v>149000</v>
      </c>
      <c r="H66" s="352" t="s">
        <v>47</v>
      </c>
      <c r="I66" s="266" t="s">
        <v>1388</v>
      </c>
      <c r="J66" s="267">
        <v>0</v>
      </c>
      <c r="K66" s="159">
        <f t="shared" si="3"/>
        <v>149000</v>
      </c>
      <c r="L66" s="268"/>
      <c r="N66" s="182"/>
    </row>
    <row r="67" spans="2:14" ht="18.600000000000001" customHeight="1" x14ac:dyDescent="0.3">
      <c r="B67" s="264" t="s">
        <v>167</v>
      </c>
      <c r="C67" s="265" t="s">
        <v>1420</v>
      </c>
      <c r="D67" s="139" t="s">
        <v>1389</v>
      </c>
      <c r="E67" s="139" t="s">
        <v>47</v>
      </c>
      <c r="F67" s="266" t="s">
        <v>1384</v>
      </c>
      <c r="G67" s="267">
        <v>149000</v>
      </c>
      <c r="H67" s="352" t="s">
        <v>47</v>
      </c>
      <c r="I67" s="266" t="s">
        <v>1387</v>
      </c>
      <c r="J67" s="267">
        <v>0</v>
      </c>
      <c r="K67" s="159">
        <f t="shared" si="3"/>
        <v>149000</v>
      </c>
      <c r="L67" s="268"/>
      <c r="N67" s="182"/>
    </row>
    <row r="68" spans="2:14" ht="18.600000000000001" customHeight="1" x14ac:dyDescent="0.3">
      <c r="B68" s="183"/>
      <c r="C68" s="184"/>
      <c r="D68" s="185"/>
      <c r="E68" s="185"/>
      <c r="F68" s="186"/>
      <c r="G68" s="187"/>
      <c r="H68" s="183"/>
      <c r="I68" s="186"/>
      <c r="J68" s="187"/>
      <c r="K68" s="187"/>
      <c r="L68" s="183"/>
      <c r="N68" s="182"/>
    </row>
  </sheetData>
  <mergeCells count="14">
    <mergeCell ref="K6:K7"/>
    <mergeCell ref="L6:L7"/>
    <mergeCell ref="B6:B7"/>
    <mergeCell ref="C6:C7"/>
    <mergeCell ref="D6:D7"/>
    <mergeCell ref="E6:G6"/>
    <mergeCell ref="H6:J6"/>
    <mergeCell ref="L56:L57"/>
    <mergeCell ref="B56:B57"/>
    <mergeCell ref="C56:C57"/>
    <mergeCell ref="D56:D57"/>
    <mergeCell ref="E56:G56"/>
    <mergeCell ref="K56:K57"/>
    <mergeCell ref="H56:J56"/>
  </mergeCells>
  <phoneticPr fontId="2" type="noConversion"/>
  <conditionalFormatting sqref="M1:M4">
    <cfRule type="duplicateValues" dxfId="65" priority="1"/>
  </conditionalFormatting>
  <pageMargins left="0.25" right="0.25" top="0.75" bottom="0.75" header="0.3" footer="0.3"/>
  <pageSetup paperSize="9" scale="44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E1B4-0A9F-4DB3-B53C-990430D80004}">
  <sheetPr>
    <tabColor rgb="FF00B0F0"/>
  </sheetPr>
  <dimension ref="B2:U999"/>
  <sheetViews>
    <sheetView showGridLines="0" tabSelected="1" zoomScaleNormal="100" workbookViewId="0">
      <pane ySplit="20" topLeftCell="A21" activePane="bottomLeft" state="frozen"/>
      <selection pane="bottomLeft" activeCell="M33" sqref="M33"/>
    </sheetView>
  </sheetViews>
  <sheetFormatPr defaultColWidth="9" defaultRowHeight="13.5" x14ac:dyDescent="0.3"/>
  <cols>
    <col min="1" max="1" width="3.625" style="26" customWidth="1"/>
    <col min="2" max="2" width="15.25" style="53" customWidth="1"/>
    <col min="3" max="3" width="22.875" style="53" customWidth="1"/>
    <col min="4" max="4" width="24.25" style="53" bestFit="1" customWidth="1"/>
    <col min="5" max="5" width="12.25" style="26" customWidth="1"/>
    <col min="6" max="6" width="10.375" style="53" customWidth="1"/>
    <col min="7" max="7" width="13.5" style="8" bestFit="1" customWidth="1"/>
    <col min="8" max="8" width="18.125" style="53" bestFit="1" customWidth="1"/>
    <col min="9" max="9" width="10.375" style="26" customWidth="1"/>
    <col min="10" max="13" width="10.375" style="53" customWidth="1"/>
    <col min="14" max="14" width="10.375" style="26" customWidth="1"/>
    <col min="15" max="18" width="10.375" style="53" customWidth="1"/>
    <col min="19" max="19" width="2.75" style="26" customWidth="1"/>
    <col min="20" max="16384" width="9" style="26"/>
  </cols>
  <sheetData>
    <row r="2" spans="2:19" ht="18" customHeight="1" x14ac:dyDescent="0.3">
      <c r="B2" s="55" t="s">
        <v>1411</v>
      </c>
      <c r="C2" s="57"/>
      <c r="D2" s="57"/>
      <c r="E2" s="57"/>
      <c r="F2" s="15"/>
      <c r="G2" s="16"/>
      <c r="H2" s="57"/>
      <c r="I2" s="57"/>
    </row>
    <row r="3" spans="2:19" ht="4.5" customHeight="1" x14ac:dyDescent="0.3">
      <c r="B3" s="57"/>
      <c r="C3" s="57"/>
      <c r="D3" s="57"/>
      <c r="E3" s="57"/>
      <c r="F3" s="57"/>
      <c r="G3" s="16"/>
      <c r="H3" s="57"/>
      <c r="I3" s="57"/>
    </row>
    <row r="4" spans="2:19" x14ac:dyDescent="0.3">
      <c r="B4" s="59" t="s">
        <v>1412</v>
      </c>
      <c r="C4" s="57"/>
      <c r="D4" s="57"/>
      <c r="E4" s="57"/>
      <c r="F4" s="15"/>
      <c r="G4" s="16"/>
      <c r="H4" s="57"/>
      <c r="I4" s="57"/>
    </row>
    <row r="5" spans="2:19" ht="6.75" customHeight="1" x14ac:dyDescent="0.3">
      <c r="B5" s="57"/>
      <c r="C5" s="57"/>
      <c r="D5" s="57"/>
      <c r="E5" s="57"/>
      <c r="F5" s="57"/>
      <c r="G5" s="16"/>
      <c r="H5" s="57"/>
      <c r="I5" s="57"/>
    </row>
    <row r="6" spans="2:19" x14ac:dyDescent="0.3">
      <c r="B6" s="57" t="s">
        <v>12</v>
      </c>
      <c r="C6" s="57"/>
      <c r="D6" s="57"/>
      <c r="E6" s="57"/>
      <c r="F6" s="57"/>
      <c r="G6" s="16"/>
      <c r="H6" s="57"/>
      <c r="I6" s="57"/>
    </row>
    <row r="7" spans="2:19" x14ac:dyDescent="0.3">
      <c r="B7" s="383" t="s">
        <v>1452</v>
      </c>
      <c r="C7" s="384"/>
      <c r="D7" s="384"/>
      <c r="E7" s="57"/>
      <c r="F7" s="57"/>
      <c r="G7" s="16"/>
      <c r="H7" s="57"/>
      <c r="I7" s="57"/>
    </row>
    <row r="8" spans="2:19" x14ac:dyDescent="0.3">
      <c r="B8" s="446" t="s">
        <v>1453</v>
      </c>
      <c r="C8" s="446"/>
      <c r="D8" s="446"/>
      <c r="E8" s="57"/>
      <c r="F8" s="57"/>
      <c r="G8" s="16"/>
      <c r="H8" s="57"/>
      <c r="I8" s="57"/>
    </row>
    <row r="9" spans="2:19" s="53" customFormat="1" ht="38.25" customHeight="1" x14ac:dyDescent="0.3">
      <c r="B9" s="59" t="s">
        <v>1454</v>
      </c>
      <c r="C9" s="385"/>
      <c r="D9" s="57"/>
      <c r="E9" s="57"/>
      <c r="F9" s="57"/>
      <c r="G9" s="16"/>
      <c r="H9" s="57"/>
      <c r="I9" s="57"/>
      <c r="N9" s="26"/>
      <c r="S9" s="26"/>
    </row>
    <row r="10" spans="2:19" ht="38.1" customHeight="1" x14ac:dyDescent="0.3">
      <c r="B10" s="59"/>
      <c r="C10" s="57"/>
      <c r="D10" s="57"/>
      <c r="E10" s="57"/>
      <c r="F10" s="57"/>
      <c r="G10" s="16"/>
      <c r="H10" s="57"/>
      <c r="I10" s="57"/>
    </row>
    <row r="11" spans="2:19" x14ac:dyDescent="0.3">
      <c r="B11" s="57" t="s">
        <v>14</v>
      </c>
      <c r="C11" s="57"/>
      <c r="D11" s="57"/>
      <c r="E11" s="57"/>
      <c r="F11" s="57"/>
      <c r="G11" s="16"/>
      <c r="H11" s="57"/>
      <c r="I11" s="57"/>
    </row>
    <row r="12" spans="2:19" s="53" customFormat="1" ht="16.5" x14ac:dyDescent="0.3">
      <c r="B12" s="386" t="s">
        <v>76</v>
      </c>
      <c r="C12" s="57"/>
      <c r="D12" s="57"/>
      <c r="E12" s="57"/>
      <c r="F12" s="57"/>
      <c r="G12" s="16"/>
      <c r="H12" s="57"/>
      <c r="I12" s="57"/>
      <c r="N12" s="26"/>
      <c r="S12" s="26"/>
    </row>
    <row r="13" spans="2:19" s="53" customFormat="1" ht="16.5" x14ac:dyDescent="0.3">
      <c r="B13" s="386" t="s">
        <v>86</v>
      </c>
      <c r="C13" s="57"/>
      <c r="D13" s="57"/>
      <c r="E13" s="57"/>
      <c r="F13" s="57"/>
      <c r="G13" s="16"/>
      <c r="H13" s="57"/>
      <c r="I13" s="57"/>
      <c r="N13" s="26"/>
      <c r="S13" s="26"/>
    </row>
    <row r="14" spans="2:19" s="53" customFormat="1" x14ac:dyDescent="0.3">
      <c r="B14" s="57" t="s">
        <v>87</v>
      </c>
      <c r="C14" s="57"/>
      <c r="D14" s="57"/>
      <c r="E14" s="57"/>
      <c r="F14" s="57"/>
      <c r="G14" s="16"/>
      <c r="H14" s="57"/>
      <c r="I14" s="57"/>
      <c r="N14" s="26"/>
      <c r="S14" s="26"/>
    </row>
    <row r="15" spans="2:19" s="53" customFormat="1" x14ac:dyDescent="0.3">
      <c r="B15" s="57" t="s">
        <v>15</v>
      </c>
      <c r="C15" s="57"/>
      <c r="D15" s="57"/>
      <c r="E15" s="57"/>
      <c r="F15" s="57"/>
      <c r="G15" s="16"/>
      <c r="H15" s="57"/>
      <c r="I15" s="57"/>
      <c r="N15" s="26"/>
      <c r="S15" s="26"/>
    </row>
    <row r="16" spans="2:19" s="53" customFormat="1" x14ac:dyDescent="0.3">
      <c r="B16" s="59" t="s">
        <v>16</v>
      </c>
      <c r="C16" s="57"/>
      <c r="S16" s="26"/>
    </row>
    <row r="17" spans="2:21" x14ac:dyDescent="0.3">
      <c r="B17" s="59" t="s">
        <v>17</v>
      </c>
      <c r="C17" s="57"/>
      <c r="E17" s="53"/>
      <c r="G17" s="53"/>
      <c r="I17" s="53"/>
      <c r="N17" s="53"/>
    </row>
    <row r="18" spans="2:21" x14ac:dyDescent="0.3">
      <c r="B18" s="59" t="s">
        <v>18</v>
      </c>
      <c r="D18" s="387"/>
      <c r="E18" s="387"/>
      <c r="F18" s="387"/>
      <c r="G18" s="387"/>
      <c r="H18" s="387"/>
      <c r="I18" s="387"/>
      <c r="J18" s="387"/>
      <c r="K18" s="387"/>
      <c r="L18" s="387"/>
      <c r="M18" s="387"/>
      <c r="N18" s="387"/>
      <c r="O18" s="387"/>
      <c r="P18" s="387"/>
      <c r="Q18" s="387"/>
      <c r="R18" s="387"/>
    </row>
    <row r="19" spans="2:21" ht="16.5" customHeight="1" x14ac:dyDescent="0.3">
      <c r="B19" s="15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87"/>
      <c r="U19" s="388"/>
    </row>
    <row r="20" spans="2:21" ht="16.5" customHeight="1" x14ac:dyDescent="0.3">
      <c r="B20" s="389" t="s">
        <v>1455</v>
      </c>
      <c r="C20" s="15"/>
      <c r="D20" s="387"/>
      <c r="E20" s="387"/>
      <c r="F20" s="390" t="s">
        <v>1456</v>
      </c>
      <c r="G20"/>
      <c r="H20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</row>
    <row r="21" spans="2:21" ht="16.5" x14ac:dyDescent="0.3">
      <c r="B21" s="21" t="s">
        <v>23</v>
      </c>
      <c r="C21" s="21" t="s">
        <v>78</v>
      </c>
      <c r="D21" s="21" t="s">
        <v>57</v>
      </c>
      <c r="F21" t="s">
        <v>1457</v>
      </c>
      <c r="G21"/>
      <c r="H21"/>
      <c r="J21" s="26"/>
      <c r="K21" s="26"/>
      <c r="L21" s="26"/>
      <c r="M21" s="26"/>
      <c r="O21" s="26"/>
      <c r="P21" s="26"/>
      <c r="Q21" s="26"/>
      <c r="R21" s="26"/>
    </row>
    <row r="22" spans="2:21" ht="16.5" x14ac:dyDescent="0.3">
      <c r="B22" s="343" t="s">
        <v>107</v>
      </c>
      <c r="C22" s="344" t="s">
        <v>390</v>
      </c>
      <c r="D22" s="345" t="s">
        <v>118</v>
      </c>
      <c r="F22" s="391"/>
      <c r="G22"/>
      <c r="H22"/>
      <c r="J22" s="26"/>
      <c r="K22" s="26"/>
      <c r="L22" s="26"/>
      <c r="M22" s="26"/>
      <c r="O22" s="26"/>
      <c r="P22" s="26"/>
      <c r="Q22" s="26"/>
      <c r="R22" s="26"/>
    </row>
    <row r="23" spans="2:21" x14ac:dyDescent="0.3">
      <c r="B23" s="343" t="s">
        <v>107</v>
      </c>
      <c r="C23" s="344" t="s">
        <v>390</v>
      </c>
      <c r="D23" s="345" t="s">
        <v>119</v>
      </c>
      <c r="F23" s="394" t="s">
        <v>3</v>
      </c>
      <c r="G23" s="395" t="s">
        <v>1458</v>
      </c>
      <c r="H23" s="395" t="s">
        <v>1459</v>
      </c>
      <c r="J23" s="26"/>
      <c r="K23" s="26"/>
      <c r="L23" s="26"/>
      <c r="M23" s="26"/>
      <c r="O23" s="26"/>
      <c r="P23" s="26"/>
      <c r="Q23" s="26"/>
      <c r="R23" s="26"/>
    </row>
    <row r="24" spans="2:21" ht="14.25" customHeight="1" x14ac:dyDescent="0.25">
      <c r="B24" s="343" t="s">
        <v>107</v>
      </c>
      <c r="C24" s="344" t="s">
        <v>390</v>
      </c>
      <c r="D24" s="345" t="s">
        <v>391</v>
      </c>
      <c r="F24" s="396" t="s" ph="1">
        <v>1460</v>
      </c>
      <c r="G24" s="397" t="s">
        <v>1460</v>
      </c>
      <c r="H24" s="398" t="s">
        <v>1460</v>
      </c>
      <c r="J24" s="26"/>
      <c r="K24" s="26"/>
      <c r="L24" s="26"/>
      <c r="M24" s="26"/>
      <c r="O24" s="26"/>
      <c r="P24" s="26"/>
      <c r="Q24" s="26"/>
      <c r="R24" s="26"/>
    </row>
    <row r="25" spans="2:21" x14ac:dyDescent="0.3">
      <c r="B25" s="343" t="s">
        <v>107</v>
      </c>
      <c r="C25" s="344" t="s">
        <v>390</v>
      </c>
      <c r="D25" s="345" t="s">
        <v>392</v>
      </c>
      <c r="F25" s="399" t="s">
        <v>486</v>
      </c>
      <c r="G25" s="400" t="s">
        <v>1199</v>
      </c>
      <c r="H25" s="400" t="s">
        <v>152</v>
      </c>
      <c r="J25" s="26"/>
      <c r="K25" s="26"/>
      <c r="L25" s="26"/>
      <c r="M25" s="26"/>
      <c r="O25" s="26"/>
      <c r="P25" s="26"/>
      <c r="Q25" s="26"/>
      <c r="R25" s="26"/>
    </row>
    <row r="26" spans="2:21" x14ac:dyDescent="0.3">
      <c r="B26" s="343" t="s">
        <v>107</v>
      </c>
      <c r="C26" s="344" t="s">
        <v>390</v>
      </c>
      <c r="D26" s="345" t="s">
        <v>393</v>
      </c>
      <c r="F26" s="401" t="s">
        <v>486</v>
      </c>
      <c r="G26" s="402" t="s">
        <v>1199</v>
      </c>
      <c r="H26" s="402" t="s">
        <v>487</v>
      </c>
      <c r="J26" s="26"/>
      <c r="K26" s="26"/>
      <c r="L26" s="26"/>
      <c r="M26" s="26"/>
      <c r="O26" s="26"/>
      <c r="P26" s="26"/>
      <c r="Q26" s="26"/>
      <c r="R26" s="26"/>
    </row>
    <row r="27" spans="2:21" x14ac:dyDescent="0.3">
      <c r="B27" s="343" t="s">
        <v>107</v>
      </c>
      <c r="C27" s="344" t="s">
        <v>390</v>
      </c>
      <c r="D27" s="345" t="s">
        <v>120</v>
      </c>
      <c r="F27" s="401" t="s">
        <v>486</v>
      </c>
      <c r="G27" s="402" t="s">
        <v>1199</v>
      </c>
      <c r="H27" s="402" t="s">
        <v>488</v>
      </c>
      <c r="J27" s="26"/>
      <c r="K27" s="26"/>
      <c r="L27" s="26"/>
      <c r="M27" s="26"/>
      <c r="O27" s="26"/>
      <c r="P27" s="26"/>
      <c r="Q27" s="26"/>
      <c r="R27" s="26"/>
    </row>
    <row r="28" spans="2:21" x14ac:dyDescent="0.3">
      <c r="B28" s="343" t="s">
        <v>107</v>
      </c>
      <c r="C28" s="344" t="s">
        <v>390</v>
      </c>
      <c r="D28" s="345" t="s">
        <v>121</v>
      </c>
      <c r="F28" s="401" t="s">
        <v>486</v>
      </c>
      <c r="G28" s="402" t="s">
        <v>1199</v>
      </c>
      <c r="H28" s="402" t="s">
        <v>377</v>
      </c>
      <c r="J28" s="26"/>
      <c r="K28" s="26"/>
      <c r="L28" s="26"/>
      <c r="M28" s="26"/>
      <c r="O28" s="26"/>
      <c r="P28" s="26"/>
      <c r="Q28" s="26"/>
      <c r="R28" s="26"/>
    </row>
    <row r="29" spans="2:21" x14ac:dyDescent="0.3">
      <c r="B29" s="343" t="s">
        <v>107</v>
      </c>
      <c r="C29" s="344" t="s">
        <v>390</v>
      </c>
      <c r="D29" s="345" t="s">
        <v>394</v>
      </c>
      <c r="F29" s="401" t="s">
        <v>486</v>
      </c>
      <c r="G29" s="402" t="s">
        <v>1199</v>
      </c>
      <c r="H29" s="402" t="s">
        <v>489</v>
      </c>
      <c r="J29" s="26"/>
      <c r="K29" s="26"/>
      <c r="L29" s="26"/>
      <c r="M29" s="26"/>
      <c r="O29" s="26"/>
      <c r="P29" s="26"/>
      <c r="Q29" s="26"/>
      <c r="R29" s="26"/>
    </row>
    <row r="30" spans="2:21" x14ac:dyDescent="0.3">
      <c r="B30" s="343" t="s">
        <v>107</v>
      </c>
      <c r="C30" s="344" t="s">
        <v>395</v>
      </c>
      <c r="D30" s="345" t="s">
        <v>396</v>
      </c>
      <c r="F30" s="401" t="s">
        <v>486</v>
      </c>
      <c r="G30" s="402" t="s">
        <v>1199</v>
      </c>
      <c r="H30" s="402" t="s">
        <v>491</v>
      </c>
      <c r="J30" s="26"/>
      <c r="K30" s="26"/>
      <c r="L30" s="26"/>
      <c r="M30" s="26"/>
      <c r="O30" s="26"/>
      <c r="P30" s="26"/>
      <c r="Q30" s="26"/>
      <c r="R30" s="26"/>
    </row>
    <row r="31" spans="2:21" x14ac:dyDescent="0.3">
      <c r="B31" s="343" t="s">
        <v>107</v>
      </c>
      <c r="C31" s="344" t="s">
        <v>395</v>
      </c>
      <c r="D31" s="345" t="s">
        <v>397</v>
      </c>
      <c r="F31" s="401" t="s">
        <v>486</v>
      </c>
      <c r="G31" s="402" t="s">
        <v>1199</v>
      </c>
      <c r="H31" s="402" t="s">
        <v>379</v>
      </c>
      <c r="J31" s="26"/>
      <c r="K31" s="26"/>
      <c r="L31" s="26"/>
      <c r="M31" s="26"/>
      <c r="O31" s="26"/>
      <c r="P31" s="26"/>
      <c r="Q31" s="26"/>
      <c r="R31" s="26"/>
    </row>
    <row r="32" spans="2:21" x14ac:dyDescent="0.3">
      <c r="B32" s="343" t="s">
        <v>107</v>
      </c>
      <c r="C32" s="344" t="s">
        <v>395</v>
      </c>
      <c r="D32" s="345" t="s">
        <v>398</v>
      </c>
      <c r="F32" s="401" t="s">
        <v>486</v>
      </c>
      <c r="G32" s="402" t="s">
        <v>1199</v>
      </c>
      <c r="H32" s="402" t="s">
        <v>380</v>
      </c>
      <c r="J32" s="26"/>
      <c r="K32" s="26"/>
      <c r="L32" s="26"/>
      <c r="M32" s="26"/>
      <c r="O32" s="26"/>
      <c r="P32" s="26"/>
      <c r="Q32" s="26"/>
      <c r="R32" s="26"/>
    </row>
    <row r="33" spans="2:18" x14ac:dyDescent="0.3">
      <c r="B33" s="343" t="s">
        <v>107</v>
      </c>
      <c r="C33" s="344" t="s">
        <v>395</v>
      </c>
      <c r="D33" s="345" t="s">
        <v>122</v>
      </c>
      <c r="F33" s="401" t="s">
        <v>486</v>
      </c>
      <c r="G33" s="402" t="s">
        <v>1199</v>
      </c>
      <c r="H33" s="402" t="s">
        <v>492</v>
      </c>
      <c r="J33" s="26"/>
      <c r="K33" s="26"/>
      <c r="L33" s="26"/>
      <c r="M33" s="26"/>
      <c r="O33" s="26"/>
      <c r="P33" s="26"/>
      <c r="Q33" s="26"/>
      <c r="R33" s="26"/>
    </row>
    <row r="34" spans="2:18" x14ac:dyDescent="0.3">
      <c r="B34" s="343" t="s">
        <v>107</v>
      </c>
      <c r="C34" s="344" t="s">
        <v>395</v>
      </c>
      <c r="D34" s="345" t="s">
        <v>123</v>
      </c>
      <c r="F34" s="401" t="s">
        <v>649</v>
      </c>
      <c r="G34" s="402" t="s">
        <v>1461</v>
      </c>
      <c r="H34" s="402" t="s">
        <v>226</v>
      </c>
      <c r="J34" s="26"/>
      <c r="K34" s="26"/>
      <c r="L34" s="26"/>
      <c r="M34" s="26"/>
      <c r="O34" s="26"/>
      <c r="P34" s="26"/>
      <c r="Q34" s="26"/>
      <c r="R34" s="26"/>
    </row>
    <row r="35" spans="2:18" x14ac:dyDescent="0.3">
      <c r="B35" s="343" t="s">
        <v>107</v>
      </c>
      <c r="C35" s="344" t="s">
        <v>395</v>
      </c>
      <c r="D35" s="345" t="s">
        <v>124</v>
      </c>
      <c r="F35" s="401" t="s">
        <v>7</v>
      </c>
      <c r="G35" s="402" t="s">
        <v>660</v>
      </c>
      <c r="H35" s="402" t="s">
        <v>207</v>
      </c>
      <c r="J35" s="26"/>
      <c r="K35" s="26"/>
      <c r="L35" s="26"/>
      <c r="M35" s="26"/>
      <c r="O35" s="26"/>
      <c r="P35" s="26"/>
      <c r="Q35" s="26"/>
      <c r="R35" s="26"/>
    </row>
    <row r="36" spans="2:18" x14ac:dyDescent="0.3">
      <c r="B36" s="343" t="s">
        <v>107</v>
      </c>
      <c r="C36" s="344" t="s">
        <v>395</v>
      </c>
      <c r="D36" s="345" t="s">
        <v>125</v>
      </c>
      <c r="F36" s="401" t="s">
        <v>7</v>
      </c>
      <c r="G36" s="402" t="s">
        <v>660</v>
      </c>
      <c r="H36" s="402" t="s">
        <v>208</v>
      </c>
      <c r="J36" s="26"/>
      <c r="K36" s="26"/>
      <c r="L36" s="26"/>
      <c r="M36" s="26"/>
      <c r="O36" s="26"/>
      <c r="P36" s="26"/>
      <c r="Q36" s="26"/>
      <c r="R36" s="26"/>
    </row>
    <row r="37" spans="2:18" x14ac:dyDescent="0.3">
      <c r="B37" s="343" t="s">
        <v>107</v>
      </c>
      <c r="C37" s="344" t="s">
        <v>395</v>
      </c>
      <c r="D37" s="345" t="s">
        <v>137</v>
      </c>
      <c r="F37" s="401" t="s">
        <v>7</v>
      </c>
      <c r="G37" s="402" t="s">
        <v>660</v>
      </c>
      <c r="H37" s="402" t="s">
        <v>1067</v>
      </c>
      <c r="J37" s="26"/>
      <c r="K37" s="26"/>
      <c r="L37" s="26"/>
      <c r="M37" s="26"/>
      <c r="O37" s="26"/>
      <c r="P37" s="26"/>
      <c r="Q37" s="26"/>
      <c r="R37" s="26"/>
    </row>
    <row r="38" spans="2:18" x14ac:dyDescent="0.3">
      <c r="B38" s="343" t="s">
        <v>107</v>
      </c>
      <c r="C38" s="344" t="s">
        <v>395</v>
      </c>
      <c r="D38" s="345" t="s">
        <v>138</v>
      </c>
      <c r="F38" s="401" t="s">
        <v>7</v>
      </c>
      <c r="G38" s="402" t="s">
        <v>660</v>
      </c>
      <c r="H38" s="402" t="s">
        <v>1068</v>
      </c>
      <c r="J38" s="26"/>
      <c r="K38" s="26"/>
      <c r="L38" s="26"/>
      <c r="M38" s="26"/>
      <c r="O38" s="26"/>
      <c r="P38" s="26"/>
      <c r="Q38" s="26"/>
      <c r="R38" s="26"/>
    </row>
    <row r="39" spans="2:18" ht="16.5" x14ac:dyDescent="0.3">
      <c r="B39" s="343" t="s">
        <v>107</v>
      </c>
      <c r="C39" s="344" t="s">
        <v>395</v>
      </c>
      <c r="D39" s="345" t="s">
        <v>139</v>
      </c>
      <c r="F39" s="392"/>
      <c r="G39"/>
      <c r="H39"/>
      <c r="J39" s="26"/>
      <c r="K39" s="26"/>
      <c r="L39" s="26"/>
      <c r="M39" s="26"/>
      <c r="O39" s="26"/>
      <c r="P39" s="26"/>
      <c r="Q39" s="26"/>
      <c r="R39" s="26"/>
    </row>
    <row r="40" spans="2:18" ht="16.5" x14ac:dyDescent="0.3">
      <c r="B40" s="343" t="s">
        <v>107</v>
      </c>
      <c r="C40" s="344" t="s">
        <v>395</v>
      </c>
      <c r="D40" s="345" t="s">
        <v>103</v>
      </c>
      <c r="F40" s="393" t="s">
        <v>1462</v>
      </c>
      <c r="G40"/>
      <c r="H40"/>
      <c r="J40" s="26"/>
      <c r="K40" s="26"/>
      <c r="L40" s="26"/>
      <c r="M40" s="26"/>
      <c r="O40" s="26"/>
      <c r="P40" s="26"/>
      <c r="Q40" s="26"/>
      <c r="R40" s="26"/>
    </row>
    <row r="41" spans="2:18" ht="16.5" x14ac:dyDescent="0.3">
      <c r="B41" s="343" t="s">
        <v>107</v>
      </c>
      <c r="C41" s="344" t="s">
        <v>395</v>
      </c>
      <c r="D41" s="345" t="s">
        <v>128</v>
      </c>
      <c r="F41" s="391" t="s">
        <v>1463</v>
      </c>
      <c r="G41"/>
      <c r="H41"/>
      <c r="J41" s="26"/>
      <c r="K41" s="26"/>
      <c r="L41" s="26"/>
      <c r="M41" s="26"/>
      <c r="O41" s="26"/>
      <c r="P41" s="26"/>
      <c r="Q41" s="26"/>
      <c r="R41" s="26"/>
    </row>
    <row r="42" spans="2:18" ht="16.5" x14ac:dyDescent="0.3">
      <c r="B42" s="343" t="s">
        <v>107</v>
      </c>
      <c r="C42" s="344" t="s">
        <v>395</v>
      </c>
      <c r="D42" s="345" t="s">
        <v>129</v>
      </c>
      <c r="F42" s="391" t="s">
        <v>1464</v>
      </c>
      <c r="G42"/>
      <c r="H42"/>
      <c r="J42" s="26"/>
      <c r="K42" s="26"/>
      <c r="L42" s="26"/>
      <c r="M42" s="26"/>
      <c r="O42" s="26"/>
      <c r="P42" s="26"/>
      <c r="Q42" s="26"/>
      <c r="R42" s="26"/>
    </row>
    <row r="43" spans="2:18" ht="16.5" x14ac:dyDescent="0.3">
      <c r="B43" s="343" t="s">
        <v>107</v>
      </c>
      <c r="C43" s="344" t="s">
        <v>395</v>
      </c>
      <c r="D43" s="345" t="s">
        <v>399</v>
      </c>
      <c r="F43" s="391" t="s">
        <v>1465</v>
      </c>
      <c r="G43"/>
      <c r="H43"/>
      <c r="J43" s="26"/>
      <c r="K43" s="26"/>
      <c r="L43" s="26"/>
      <c r="M43" s="26"/>
      <c r="O43" s="26"/>
      <c r="P43" s="26"/>
      <c r="Q43" s="26"/>
      <c r="R43" s="26"/>
    </row>
    <row r="44" spans="2:18" ht="16.5" x14ac:dyDescent="0.3">
      <c r="B44" s="343" t="s">
        <v>107</v>
      </c>
      <c r="C44" s="344" t="s">
        <v>395</v>
      </c>
      <c r="D44" s="345" t="s">
        <v>400</v>
      </c>
      <c r="F44"/>
      <c r="G44"/>
      <c r="H44"/>
      <c r="J44" s="26"/>
      <c r="K44" s="26"/>
      <c r="L44" s="26"/>
      <c r="M44" s="26"/>
      <c r="O44" s="26"/>
      <c r="P44" s="26"/>
      <c r="Q44" s="26"/>
      <c r="R44" s="26"/>
    </row>
    <row r="45" spans="2:18" ht="16.5" x14ac:dyDescent="0.3">
      <c r="B45" s="343" t="s">
        <v>107</v>
      </c>
      <c r="C45" s="344" t="s">
        <v>395</v>
      </c>
      <c r="D45" s="345" t="s">
        <v>401</v>
      </c>
      <c r="F45"/>
      <c r="G45"/>
      <c r="H45"/>
      <c r="J45" s="26"/>
      <c r="K45" s="26"/>
      <c r="L45" s="26"/>
      <c r="M45" s="26"/>
      <c r="O45" s="26"/>
      <c r="P45" s="26"/>
      <c r="Q45" s="26"/>
      <c r="R45" s="26"/>
    </row>
    <row r="46" spans="2:18" ht="16.5" x14ac:dyDescent="0.3">
      <c r="B46" s="343" t="s">
        <v>107</v>
      </c>
      <c r="C46" s="344" t="s">
        <v>395</v>
      </c>
      <c r="D46" s="345" t="s">
        <v>402</v>
      </c>
      <c r="F46"/>
      <c r="G46"/>
      <c r="H46"/>
      <c r="J46" s="26"/>
      <c r="K46" s="26"/>
      <c r="L46" s="26"/>
      <c r="M46" s="26"/>
      <c r="O46" s="26"/>
      <c r="P46" s="26"/>
      <c r="Q46" s="26"/>
      <c r="R46" s="26"/>
    </row>
    <row r="47" spans="2:18" ht="16.5" x14ac:dyDescent="0.3">
      <c r="B47" s="343" t="s">
        <v>107</v>
      </c>
      <c r="C47" s="344" t="s">
        <v>395</v>
      </c>
      <c r="D47" s="345" t="s">
        <v>403</v>
      </c>
      <c r="F47"/>
      <c r="G47"/>
      <c r="H47"/>
      <c r="J47" s="26"/>
      <c r="K47" s="26"/>
      <c r="L47" s="26"/>
      <c r="M47" s="26"/>
      <c r="O47" s="26"/>
      <c r="P47" s="26"/>
      <c r="Q47" s="26"/>
      <c r="R47" s="26"/>
    </row>
    <row r="48" spans="2:18" ht="16.5" x14ac:dyDescent="0.3">
      <c r="B48" s="343" t="s">
        <v>107</v>
      </c>
      <c r="C48" s="344" t="s">
        <v>395</v>
      </c>
      <c r="D48" s="345" t="s">
        <v>404</v>
      </c>
      <c r="F48"/>
      <c r="G48"/>
      <c r="H48"/>
      <c r="J48" s="26"/>
      <c r="K48" s="26"/>
      <c r="L48" s="26"/>
      <c r="M48" s="26"/>
      <c r="O48" s="26"/>
      <c r="P48" s="26"/>
      <c r="Q48" s="26"/>
      <c r="R48" s="26"/>
    </row>
    <row r="49" spans="2:18" ht="16.5" x14ac:dyDescent="0.3">
      <c r="B49" s="343" t="s">
        <v>107</v>
      </c>
      <c r="C49" s="344" t="s">
        <v>395</v>
      </c>
      <c r="D49" s="345" t="s">
        <v>405</v>
      </c>
      <c r="F49"/>
      <c r="G49"/>
      <c r="H49"/>
      <c r="J49" s="26"/>
      <c r="K49" s="26"/>
      <c r="L49" s="26"/>
      <c r="M49" s="26"/>
      <c r="O49" s="26"/>
      <c r="P49" s="26"/>
      <c r="Q49" s="26"/>
      <c r="R49" s="26"/>
    </row>
    <row r="50" spans="2:18" ht="16.5" x14ac:dyDescent="0.3">
      <c r="B50" s="343" t="s">
        <v>107</v>
      </c>
      <c r="C50" s="344" t="s">
        <v>395</v>
      </c>
      <c r="D50" s="345" t="s">
        <v>406</v>
      </c>
      <c r="F50"/>
      <c r="G50"/>
      <c r="H50"/>
      <c r="J50" s="26"/>
      <c r="K50" s="26"/>
      <c r="L50" s="26"/>
      <c r="M50" s="26"/>
      <c r="O50" s="26"/>
      <c r="P50" s="26"/>
      <c r="Q50" s="26"/>
      <c r="R50" s="26"/>
    </row>
    <row r="51" spans="2:18" ht="16.5" x14ac:dyDescent="0.3">
      <c r="B51" s="343" t="s">
        <v>107</v>
      </c>
      <c r="C51" s="344" t="s">
        <v>395</v>
      </c>
      <c r="D51" s="345" t="s">
        <v>407</v>
      </c>
      <c r="F51"/>
      <c r="G51"/>
      <c r="H51"/>
      <c r="J51" s="26"/>
      <c r="K51" s="26"/>
      <c r="L51" s="26"/>
      <c r="M51" s="26"/>
      <c r="O51" s="26"/>
      <c r="P51" s="26"/>
      <c r="Q51" s="26"/>
      <c r="R51" s="26"/>
    </row>
    <row r="52" spans="2:18" ht="16.5" x14ac:dyDescent="0.3">
      <c r="B52" s="343" t="s">
        <v>107</v>
      </c>
      <c r="C52" s="344" t="s">
        <v>408</v>
      </c>
      <c r="D52" s="345" t="s">
        <v>132</v>
      </c>
      <c r="F52"/>
      <c r="G52"/>
      <c r="H52"/>
      <c r="J52" s="26"/>
      <c r="K52" s="26"/>
      <c r="L52" s="26"/>
      <c r="M52" s="26"/>
      <c r="O52" s="26"/>
      <c r="P52" s="26"/>
      <c r="Q52" s="26"/>
      <c r="R52" s="26"/>
    </row>
    <row r="53" spans="2:18" ht="16.5" x14ac:dyDescent="0.3">
      <c r="B53" s="343" t="s">
        <v>107</v>
      </c>
      <c r="C53" s="344" t="s">
        <v>408</v>
      </c>
      <c r="D53" s="345" t="s">
        <v>126</v>
      </c>
      <c r="F53"/>
      <c r="G53"/>
      <c r="H53"/>
      <c r="J53" s="26"/>
      <c r="K53" s="26"/>
      <c r="L53" s="26"/>
      <c r="M53" s="26"/>
      <c r="O53" s="26"/>
      <c r="P53" s="26"/>
      <c r="Q53" s="26"/>
      <c r="R53" s="26"/>
    </row>
    <row r="54" spans="2:18" ht="16.5" x14ac:dyDescent="0.3">
      <c r="B54" s="343" t="s">
        <v>107</v>
      </c>
      <c r="C54" s="344" t="s">
        <v>408</v>
      </c>
      <c r="D54" s="345" t="s">
        <v>105</v>
      </c>
      <c r="F54"/>
      <c r="G54"/>
      <c r="H54"/>
      <c r="J54" s="26"/>
      <c r="K54" s="26"/>
      <c r="L54" s="26"/>
      <c r="M54" s="26"/>
      <c r="O54" s="26"/>
      <c r="P54" s="26"/>
      <c r="Q54" s="26"/>
      <c r="R54" s="26"/>
    </row>
    <row r="55" spans="2:18" ht="16.5" x14ac:dyDescent="0.3">
      <c r="B55" s="343" t="s">
        <v>107</v>
      </c>
      <c r="C55" s="344" t="s">
        <v>408</v>
      </c>
      <c r="D55" s="345" t="s">
        <v>104</v>
      </c>
      <c r="F55"/>
      <c r="G55"/>
      <c r="H55"/>
      <c r="J55" s="26"/>
      <c r="K55" s="26"/>
      <c r="L55" s="26"/>
      <c r="M55" s="26"/>
      <c r="O55" s="26"/>
      <c r="P55" s="26"/>
      <c r="Q55" s="26"/>
      <c r="R55" s="26"/>
    </row>
    <row r="56" spans="2:18" ht="16.5" x14ac:dyDescent="0.3">
      <c r="B56" s="343" t="s">
        <v>107</v>
      </c>
      <c r="C56" s="344" t="s">
        <v>408</v>
      </c>
      <c r="D56" s="345" t="s">
        <v>127</v>
      </c>
      <c r="F56"/>
      <c r="G56"/>
      <c r="H56"/>
      <c r="J56" s="26"/>
      <c r="K56" s="26"/>
      <c r="L56" s="26"/>
      <c r="M56" s="26"/>
      <c r="O56" s="26"/>
      <c r="P56" s="26"/>
      <c r="Q56" s="26"/>
      <c r="R56" s="26"/>
    </row>
    <row r="57" spans="2:18" ht="16.5" x14ac:dyDescent="0.3">
      <c r="B57" s="343" t="s">
        <v>107</v>
      </c>
      <c r="C57" s="344" t="s">
        <v>408</v>
      </c>
      <c r="D57" s="345" t="s">
        <v>133</v>
      </c>
      <c r="F57"/>
      <c r="G57"/>
      <c r="H57"/>
      <c r="J57" s="26"/>
      <c r="K57" s="26"/>
      <c r="L57" s="26"/>
      <c r="M57" s="26"/>
      <c r="O57" s="26"/>
      <c r="P57" s="26"/>
      <c r="Q57" s="26"/>
      <c r="R57" s="26"/>
    </row>
    <row r="58" spans="2:18" ht="16.5" x14ac:dyDescent="0.3">
      <c r="B58" s="343" t="s">
        <v>107</v>
      </c>
      <c r="C58" s="344" t="s">
        <v>408</v>
      </c>
      <c r="D58" s="345" t="s">
        <v>134</v>
      </c>
      <c r="F58"/>
      <c r="G58"/>
      <c r="H58"/>
      <c r="J58" s="26"/>
      <c r="K58" s="26"/>
      <c r="L58" s="26"/>
      <c r="M58" s="26"/>
      <c r="O58" s="26"/>
      <c r="P58" s="26"/>
      <c r="Q58" s="26"/>
      <c r="R58" s="26"/>
    </row>
    <row r="59" spans="2:18" ht="16.5" x14ac:dyDescent="0.3">
      <c r="B59" s="343" t="s">
        <v>107</v>
      </c>
      <c r="C59" s="344" t="s">
        <v>408</v>
      </c>
      <c r="D59" s="345" t="s">
        <v>409</v>
      </c>
      <c r="F59"/>
      <c r="G59"/>
      <c r="H59"/>
      <c r="J59" s="26"/>
      <c r="K59" s="26"/>
      <c r="L59" s="26"/>
      <c r="M59" s="26"/>
      <c r="O59" s="26"/>
      <c r="P59" s="26"/>
      <c r="Q59" s="26"/>
      <c r="R59" s="26"/>
    </row>
    <row r="60" spans="2:18" ht="16.5" x14ac:dyDescent="0.3">
      <c r="B60" s="343" t="s">
        <v>107</v>
      </c>
      <c r="C60" s="344" t="s">
        <v>410</v>
      </c>
      <c r="D60" s="345" t="s">
        <v>130</v>
      </c>
      <c r="F60"/>
      <c r="G60"/>
      <c r="H60"/>
      <c r="J60" s="26"/>
      <c r="K60" s="26"/>
      <c r="L60" s="26"/>
      <c r="M60" s="26"/>
      <c r="O60" s="26"/>
      <c r="P60" s="26"/>
      <c r="Q60" s="26"/>
      <c r="R60" s="26"/>
    </row>
    <row r="61" spans="2:18" ht="16.5" x14ac:dyDescent="0.3">
      <c r="B61" s="343" t="s">
        <v>107</v>
      </c>
      <c r="C61" s="344" t="s">
        <v>410</v>
      </c>
      <c r="D61" s="345" t="s">
        <v>411</v>
      </c>
      <c r="F61"/>
      <c r="G61"/>
      <c r="H61"/>
      <c r="J61" s="26"/>
      <c r="K61" s="26"/>
      <c r="L61" s="26"/>
      <c r="M61" s="26"/>
      <c r="O61" s="26"/>
      <c r="P61" s="26"/>
      <c r="Q61" s="26"/>
      <c r="R61" s="26"/>
    </row>
    <row r="62" spans="2:18" ht="16.5" x14ac:dyDescent="0.3">
      <c r="B62" s="343" t="s">
        <v>107</v>
      </c>
      <c r="C62" s="344" t="s">
        <v>410</v>
      </c>
      <c r="D62" s="345" t="s">
        <v>101</v>
      </c>
      <c r="F62"/>
      <c r="G62"/>
      <c r="H62"/>
      <c r="J62" s="26"/>
      <c r="K62" s="26"/>
      <c r="L62" s="26"/>
      <c r="M62" s="26"/>
      <c r="O62" s="26"/>
      <c r="P62" s="26"/>
      <c r="Q62" s="26"/>
      <c r="R62" s="26"/>
    </row>
    <row r="63" spans="2:18" ht="16.5" x14ac:dyDescent="0.3">
      <c r="B63" s="343" t="s">
        <v>107</v>
      </c>
      <c r="C63" s="344" t="s">
        <v>412</v>
      </c>
      <c r="D63" s="345" t="s">
        <v>144</v>
      </c>
      <c r="F63"/>
      <c r="G63"/>
      <c r="H63"/>
      <c r="J63" s="26"/>
      <c r="K63" s="26"/>
      <c r="L63" s="26"/>
      <c r="M63" s="26"/>
      <c r="O63" s="26"/>
      <c r="P63" s="26"/>
      <c r="Q63" s="26"/>
      <c r="R63" s="26"/>
    </row>
    <row r="64" spans="2:18" ht="16.5" x14ac:dyDescent="0.3">
      <c r="B64" s="343" t="s">
        <v>107</v>
      </c>
      <c r="C64" s="344" t="s">
        <v>413</v>
      </c>
      <c r="D64" s="345" t="s">
        <v>131</v>
      </c>
      <c r="F64"/>
      <c r="G64"/>
      <c r="H64"/>
      <c r="J64" s="26"/>
      <c r="K64" s="26"/>
      <c r="L64" s="26"/>
      <c r="M64" s="26"/>
      <c r="O64" s="26"/>
      <c r="P64" s="26"/>
      <c r="Q64" s="26"/>
      <c r="R64" s="26"/>
    </row>
    <row r="65" spans="2:18" ht="16.5" x14ac:dyDescent="0.3">
      <c r="B65" s="343" t="s">
        <v>107</v>
      </c>
      <c r="C65" s="344" t="s">
        <v>413</v>
      </c>
      <c r="D65" s="345" t="s">
        <v>414</v>
      </c>
      <c r="F65"/>
      <c r="G65"/>
      <c r="H65"/>
      <c r="J65" s="26"/>
      <c r="K65" s="26"/>
      <c r="L65" s="26"/>
      <c r="M65" s="26"/>
      <c r="O65" s="26"/>
      <c r="P65" s="26"/>
      <c r="Q65" s="26"/>
      <c r="R65" s="26"/>
    </row>
    <row r="66" spans="2:18" ht="16.5" x14ac:dyDescent="0.3">
      <c r="B66" s="343" t="s">
        <v>107</v>
      </c>
      <c r="C66" s="344" t="s">
        <v>413</v>
      </c>
      <c r="D66" s="345" t="s">
        <v>415</v>
      </c>
      <c r="F66"/>
      <c r="G66"/>
      <c r="H66"/>
      <c r="J66" s="26"/>
      <c r="K66" s="26"/>
      <c r="L66" s="26"/>
      <c r="M66" s="26"/>
      <c r="O66" s="26"/>
      <c r="P66" s="26"/>
      <c r="Q66" s="26"/>
      <c r="R66" s="26"/>
    </row>
    <row r="67" spans="2:18" ht="16.5" x14ac:dyDescent="0.3">
      <c r="B67" s="343" t="s">
        <v>107</v>
      </c>
      <c r="C67" s="344" t="s">
        <v>390</v>
      </c>
      <c r="D67" s="345" t="s">
        <v>416</v>
      </c>
      <c r="F67"/>
      <c r="G67"/>
      <c r="H67"/>
      <c r="J67" s="26"/>
      <c r="K67" s="26"/>
      <c r="L67" s="26"/>
      <c r="M67" s="26"/>
      <c r="O67" s="26"/>
      <c r="P67" s="26"/>
      <c r="Q67" s="26"/>
      <c r="R67" s="26"/>
    </row>
    <row r="68" spans="2:18" ht="16.5" x14ac:dyDescent="0.3">
      <c r="B68" s="343" t="s">
        <v>107</v>
      </c>
      <c r="C68" s="344" t="s">
        <v>395</v>
      </c>
      <c r="D68" s="345" t="s">
        <v>417</v>
      </c>
      <c r="F68"/>
      <c r="G68"/>
      <c r="H68"/>
      <c r="J68" s="26"/>
      <c r="K68" s="26"/>
      <c r="L68" s="26"/>
      <c r="M68" s="26"/>
      <c r="O68" s="26"/>
      <c r="P68" s="26"/>
      <c r="Q68" s="26"/>
      <c r="R68" s="26"/>
    </row>
    <row r="69" spans="2:18" ht="16.5" x14ac:dyDescent="0.3">
      <c r="B69" s="343" t="s">
        <v>107</v>
      </c>
      <c r="C69" s="344" t="s">
        <v>395</v>
      </c>
      <c r="D69" s="345" t="s">
        <v>150</v>
      </c>
      <c r="F69"/>
      <c r="G69"/>
      <c r="H69"/>
      <c r="J69" s="26"/>
      <c r="K69" s="26"/>
      <c r="L69" s="26"/>
      <c r="M69" s="26"/>
      <c r="O69" s="26"/>
      <c r="P69" s="26"/>
      <c r="Q69" s="26"/>
      <c r="R69" s="26"/>
    </row>
    <row r="70" spans="2:18" ht="16.5" x14ac:dyDescent="0.3">
      <c r="B70" s="343" t="s">
        <v>107</v>
      </c>
      <c r="C70" s="344" t="s">
        <v>390</v>
      </c>
      <c r="D70" s="345" t="s">
        <v>418</v>
      </c>
      <c r="F70"/>
      <c r="G70"/>
      <c r="H70"/>
      <c r="J70" s="26"/>
      <c r="K70" s="26"/>
      <c r="L70" s="26"/>
      <c r="M70" s="26"/>
      <c r="O70" s="26"/>
      <c r="P70" s="26"/>
      <c r="Q70" s="26"/>
      <c r="R70" s="26"/>
    </row>
    <row r="71" spans="2:18" ht="16.5" x14ac:dyDescent="0.3">
      <c r="B71" s="343" t="s">
        <v>107</v>
      </c>
      <c r="C71" s="344" t="s">
        <v>390</v>
      </c>
      <c r="D71" s="345" t="s">
        <v>419</v>
      </c>
      <c r="F71"/>
      <c r="G71"/>
      <c r="H71"/>
      <c r="J71" s="26"/>
      <c r="K71" s="26"/>
      <c r="L71" s="26"/>
      <c r="M71" s="26"/>
      <c r="O71" s="26"/>
      <c r="P71" s="26"/>
      <c r="Q71" s="26"/>
      <c r="R71" s="26"/>
    </row>
    <row r="72" spans="2:18" ht="16.5" x14ac:dyDescent="0.3">
      <c r="B72" s="343" t="s">
        <v>107</v>
      </c>
      <c r="C72" s="344" t="s">
        <v>390</v>
      </c>
      <c r="D72" s="345" t="s">
        <v>420</v>
      </c>
      <c r="F72"/>
      <c r="G72"/>
      <c r="H72"/>
      <c r="J72" s="26"/>
      <c r="K72" s="26"/>
      <c r="L72" s="26"/>
      <c r="M72" s="26"/>
      <c r="O72" s="26"/>
      <c r="P72" s="26"/>
      <c r="Q72" s="26"/>
      <c r="R72" s="26"/>
    </row>
    <row r="73" spans="2:18" ht="16.5" x14ac:dyDescent="0.3">
      <c r="B73" s="343" t="s">
        <v>107</v>
      </c>
      <c r="C73" s="344" t="s">
        <v>408</v>
      </c>
      <c r="D73" s="345" t="s">
        <v>108</v>
      </c>
      <c r="F73"/>
      <c r="G73"/>
      <c r="H73"/>
      <c r="J73" s="26"/>
      <c r="K73" s="26"/>
      <c r="L73" s="26"/>
      <c r="M73" s="26"/>
      <c r="O73" s="26"/>
      <c r="P73" s="26"/>
      <c r="Q73" s="26"/>
      <c r="R73" s="26"/>
    </row>
    <row r="74" spans="2:18" ht="16.5" x14ac:dyDescent="0.3">
      <c r="B74" s="343" t="s">
        <v>107</v>
      </c>
      <c r="C74" s="344" t="s">
        <v>408</v>
      </c>
      <c r="D74" s="345" t="s">
        <v>109</v>
      </c>
      <c r="F74"/>
      <c r="G74"/>
      <c r="H74"/>
      <c r="J74" s="26"/>
      <c r="K74" s="26"/>
      <c r="L74" s="26"/>
      <c r="M74" s="26"/>
      <c r="O74" s="26"/>
      <c r="P74" s="26"/>
      <c r="Q74" s="26"/>
      <c r="R74" s="26"/>
    </row>
    <row r="75" spans="2:18" ht="16.5" x14ac:dyDescent="0.3">
      <c r="B75" s="343" t="s">
        <v>107</v>
      </c>
      <c r="C75" s="344" t="s">
        <v>395</v>
      </c>
      <c r="D75" s="345" t="s">
        <v>421</v>
      </c>
      <c r="F75"/>
      <c r="G75"/>
      <c r="H75"/>
      <c r="J75" s="26"/>
      <c r="K75" s="26"/>
      <c r="L75" s="26"/>
      <c r="M75" s="26"/>
      <c r="O75" s="26"/>
      <c r="P75" s="26"/>
      <c r="Q75" s="26"/>
      <c r="R75" s="26"/>
    </row>
    <row r="76" spans="2:18" ht="16.5" x14ac:dyDescent="0.3">
      <c r="B76" s="343" t="s">
        <v>107</v>
      </c>
      <c r="C76" s="344" t="s">
        <v>395</v>
      </c>
      <c r="D76" s="345" t="s">
        <v>422</v>
      </c>
      <c r="F76"/>
      <c r="G76"/>
      <c r="H76"/>
      <c r="J76" s="26"/>
      <c r="K76" s="26"/>
      <c r="L76" s="26"/>
      <c r="M76" s="26"/>
      <c r="O76" s="26"/>
      <c r="P76" s="26"/>
      <c r="Q76" s="26"/>
      <c r="R76" s="26"/>
    </row>
    <row r="77" spans="2:18" ht="16.5" x14ac:dyDescent="0.3">
      <c r="B77" s="343" t="s">
        <v>107</v>
      </c>
      <c r="C77" s="344" t="s">
        <v>395</v>
      </c>
      <c r="D77" s="345" t="s">
        <v>423</v>
      </c>
      <c r="F77"/>
      <c r="G77"/>
      <c r="H77"/>
      <c r="J77" s="26"/>
      <c r="K77" s="26"/>
      <c r="L77" s="26"/>
      <c r="M77" s="26"/>
      <c r="O77" s="26"/>
      <c r="P77" s="26"/>
      <c r="Q77" s="26"/>
      <c r="R77" s="26"/>
    </row>
    <row r="78" spans="2:18" ht="16.5" x14ac:dyDescent="0.3">
      <c r="B78" s="343" t="s">
        <v>107</v>
      </c>
      <c r="C78" s="344" t="s">
        <v>408</v>
      </c>
      <c r="D78" s="345" t="s">
        <v>110</v>
      </c>
      <c r="F78"/>
      <c r="G78"/>
      <c r="H78"/>
      <c r="J78" s="26"/>
      <c r="K78" s="26"/>
      <c r="L78" s="26"/>
      <c r="M78" s="26"/>
      <c r="O78" s="26"/>
      <c r="P78" s="26"/>
      <c r="Q78" s="26"/>
      <c r="R78" s="26"/>
    </row>
    <row r="79" spans="2:18" ht="16.5" x14ac:dyDescent="0.3">
      <c r="B79" s="343" t="s">
        <v>107</v>
      </c>
      <c r="C79" s="344" t="s">
        <v>408</v>
      </c>
      <c r="D79" s="345" t="s">
        <v>1165</v>
      </c>
      <c r="F79"/>
      <c r="G79"/>
      <c r="H79"/>
      <c r="J79" s="26"/>
      <c r="K79" s="26"/>
      <c r="L79" s="26"/>
      <c r="M79" s="26"/>
      <c r="O79" s="26"/>
      <c r="P79" s="26"/>
      <c r="Q79" s="26"/>
      <c r="R79" s="26"/>
    </row>
    <row r="80" spans="2:18" ht="16.5" x14ac:dyDescent="0.3">
      <c r="B80" s="343" t="s">
        <v>107</v>
      </c>
      <c r="C80" s="344" t="s">
        <v>408</v>
      </c>
      <c r="D80" s="345" t="s">
        <v>1163</v>
      </c>
      <c r="F80"/>
      <c r="G80"/>
      <c r="H80"/>
      <c r="J80" s="26"/>
      <c r="K80" s="26"/>
      <c r="L80" s="26"/>
      <c r="M80" s="26"/>
      <c r="O80" s="26"/>
      <c r="P80" s="26"/>
      <c r="Q80" s="26"/>
      <c r="R80" s="26"/>
    </row>
    <row r="81" spans="2:18" ht="16.5" x14ac:dyDescent="0.3">
      <c r="B81" s="343" t="s">
        <v>107</v>
      </c>
      <c r="C81" s="344" t="s">
        <v>395</v>
      </c>
      <c r="D81" s="345" t="s">
        <v>116</v>
      </c>
      <c r="F81"/>
      <c r="G81"/>
      <c r="H81"/>
      <c r="J81" s="26"/>
      <c r="K81" s="26"/>
      <c r="L81" s="26"/>
      <c r="M81" s="26"/>
      <c r="O81" s="26"/>
      <c r="P81" s="26"/>
      <c r="Q81" s="26"/>
      <c r="R81" s="26"/>
    </row>
    <row r="82" spans="2:18" ht="16.5" x14ac:dyDescent="0.3">
      <c r="B82" s="343" t="s">
        <v>107</v>
      </c>
      <c r="C82" s="344" t="s">
        <v>395</v>
      </c>
      <c r="D82" s="345" t="s">
        <v>424</v>
      </c>
      <c r="F82"/>
      <c r="G82"/>
      <c r="H82"/>
      <c r="J82" s="26"/>
      <c r="K82" s="26"/>
      <c r="L82" s="26"/>
      <c r="M82" s="26"/>
      <c r="O82" s="26"/>
      <c r="P82" s="26"/>
      <c r="Q82" s="26"/>
      <c r="R82" s="26"/>
    </row>
    <row r="83" spans="2:18" ht="16.5" x14ac:dyDescent="0.3">
      <c r="B83" s="343" t="s">
        <v>107</v>
      </c>
      <c r="C83" s="344" t="s">
        <v>395</v>
      </c>
      <c r="D83" s="345" t="s">
        <v>425</v>
      </c>
      <c r="F83"/>
      <c r="G83"/>
      <c r="H83"/>
      <c r="J83" s="26"/>
      <c r="K83" s="26"/>
      <c r="L83" s="26"/>
      <c r="M83" s="26"/>
      <c r="O83" s="26"/>
      <c r="P83" s="26"/>
      <c r="Q83" s="26"/>
      <c r="R83" s="26"/>
    </row>
    <row r="84" spans="2:18" ht="16.5" x14ac:dyDescent="0.3">
      <c r="B84" s="343" t="s">
        <v>107</v>
      </c>
      <c r="C84" s="344" t="s">
        <v>395</v>
      </c>
      <c r="D84" s="345" t="s">
        <v>426</v>
      </c>
      <c r="F84"/>
      <c r="G84"/>
      <c r="H84"/>
      <c r="J84" s="26"/>
      <c r="K84" s="26"/>
      <c r="L84" s="26"/>
      <c r="M84" s="26"/>
      <c r="O84" s="26"/>
      <c r="P84" s="26"/>
      <c r="Q84" s="26"/>
      <c r="R84" s="26"/>
    </row>
    <row r="85" spans="2:18" ht="16.5" x14ac:dyDescent="0.3">
      <c r="B85" s="343" t="s">
        <v>107</v>
      </c>
      <c r="C85" s="344" t="s">
        <v>395</v>
      </c>
      <c r="D85" s="345" t="s">
        <v>427</v>
      </c>
      <c r="F85"/>
      <c r="G85"/>
      <c r="H85"/>
      <c r="J85" s="26"/>
      <c r="K85" s="26"/>
      <c r="L85" s="26"/>
      <c r="M85" s="26"/>
      <c r="O85" s="26"/>
      <c r="P85" s="26"/>
      <c r="Q85" s="26"/>
      <c r="R85" s="26"/>
    </row>
    <row r="86" spans="2:18" ht="16.5" x14ac:dyDescent="0.3">
      <c r="B86" s="343" t="s">
        <v>107</v>
      </c>
      <c r="C86" s="344" t="s">
        <v>395</v>
      </c>
      <c r="D86" s="345" t="s">
        <v>428</v>
      </c>
      <c r="F86"/>
      <c r="G86"/>
      <c r="H86"/>
      <c r="J86" s="26"/>
      <c r="K86" s="26"/>
      <c r="L86" s="26"/>
      <c r="M86" s="26"/>
      <c r="O86" s="26"/>
      <c r="P86" s="26"/>
      <c r="Q86" s="26"/>
      <c r="R86" s="26"/>
    </row>
    <row r="87" spans="2:18" ht="16.5" x14ac:dyDescent="0.3">
      <c r="B87" s="343" t="s">
        <v>107</v>
      </c>
      <c r="C87" s="344" t="s">
        <v>395</v>
      </c>
      <c r="D87" s="345" t="s">
        <v>429</v>
      </c>
      <c r="F87"/>
      <c r="G87"/>
      <c r="H87"/>
      <c r="J87" s="26"/>
      <c r="K87" s="26"/>
      <c r="L87" s="26"/>
      <c r="M87" s="26"/>
      <c r="O87" s="26"/>
      <c r="P87" s="26"/>
      <c r="Q87" s="26"/>
      <c r="R87" s="26"/>
    </row>
    <row r="88" spans="2:18" ht="16.5" x14ac:dyDescent="0.3">
      <c r="B88" s="343" t="s">
        <v>107</v>
      </c>
      <c r="C88" s="344" t="s">
        <v>390</v>
      </c>
      <c r="D88" s="345" t="s">
        <v>430</v>
      </c>
      <c r="F88"/>
      <c r="G88"/>
      <c r="H88"/>
      <c r="J88" s="26"/>
      <c r="K88" s="26"/>
      <c r="L88" s="26"/>
      <c r="M88" s="26"/>
      <c r="O88" s="26"/>
      <c r="P88" s="26"/>
      <c r="Q88" s="26"/>
      <c r="R88" s="26"/>
    </row>
    <row r="89" spans="2:18" ht="16.5" x14ac:dyDescent="0.3">
      <c r="B89" s="343" t="s">
        <v>107</v>
      </c>
      <c r="C89" s="344" t="s">
        <v>390</v>
      </c>
      <c r="D89" s="345" t="s">
        <v>431</v>
      </c>
      <c r="F89"/>
      <c r="G89"/>
      <c r="H89"/>
      <c r="J89" s="26"/>
      <c r="K89" s="26"/>
      <c r="L89" s="26"/>
      <c r="M89" s="26"/>
      <c r="O89" s="26"/>
      <c r="P89" s="26"/>
      <c r="Q89" s="26"/>
      <c r="R89" s="26"/>
    </row>
    <row r="90" spans="2:18" ht="16.5" x14ac:dyDescent="0.3">
      <c r="B90" s="343" t="s">
        <v>107</v>
      </c>
      <c r="C90" s="344" t="s">
        <v>390</v>
      </c>
      <c r="D90" s="345" t="s">
        <v>432</v>
      </c>
      <c r="F90"/>
      <c r="G90"/>
      <c r="H90"/>
      <c r="J90" s="26"/>
      <c r="K90" s="26"/>
      <c r="L90" s="26"/>
      <c r="M90" s="26"/>
      <c r="O90" s="26"/>
      <c r="P90" s="26"/>
      <c r="Q90" s="26"/>
      <c r="R90" s="26"/>
    </row>
    <row r="91" spans="2:18" ht="16.5" x14ac:dyDescent="0.3">
      <c r="B91" s="343" t="s">
        <v>107</v>
      </c>
      <c r="C91" s="344" t="s">
        <v>408</v>
      </c>
      <c r="D91" s="345" t="s">
        <v>111</v>
      </c>
      <c r="F91"/>
      <c r="G91"/>
      <c r="H91"/>
      <c r="J91" s="26"/>
      <c r="K91" s="26"/>
      <c r="L91" s="26"/>
      <c r="M91" s="26"/>
      <c r="O91" s="26"/>
      <c r="P91" s="26"/>
      <c r="Q91" s="26"/>
      <c r="R91" s="26"/>
    </row>
    <row r="92" spans="2:18" ht="16.5" x14ac:dyDescent="0.3">
      <c r="B92" s="343" t="s">
        <v>107</v>
      </c>
      <c r="C92" s="344" t="s">
        <v>408</v>
      </c>
      <c r="D92" s="345" t="s">
        <v>112</v>
      </c>
      <c r="F92"/>
      <c r="G92"/>
      <c r="H92"/>
      <c r="J92" s="26"/>
      <c r="K92" s="26"/>
      <c r="L92" s="26"/>
      <c r="M92" s="26"/>
      <c r="O92" s="26"/>
      <c r="P92" s="26"/>
      <c r="Q92" s="26"/>
      <c r="R92" s="26"/>
    </row>
    <row r="93" spans="2:18" ht="16.5" x14ac:dyDescent="0.3">
      <c r="B93" s="343" t="s">
        <v>107</v>
      </c>
      <c r="C93" s="344" t="s">
        <v>395</v>
      </c>
      <c r="D93" s="345" t="s">
        <v>433</v>
      </c>
      <c r="F93"/>
      <c r="G93"/>
      <c r="H93"/>
      <c r="J93" s="26"/>
      <c r="K93" s="26"/>
      <c r="L93" s="26"/>
      <c r="M93" s="26"/>
      <c r="O93" s="26"/>
      <c r="P93" s="26"/>
      <c r="Q93" s="26"/>
      <c r="R93" s="26"/>
    </row>
    <row r="94" spans="2:18" ht="16.5" x14ac:dyDescent="0.3">
      <c r="B94" s="343" t="s">
        <v>107</v>
      </c>
      <c r="C94" s="344" t="s">
        <v>395</v>
      </c>
      <c r="D94" s="345" t="s">
        <v>434</v>
      </c>
      <c r="F94"/>
      <c r="G94"/>
      <c r="H94"/>
      <c r="J94" s="26"/>
      <c r="K94" s="26"/>
      <c r="L94" s="26"/>
      <c r="M94" s="26"/>
      <c r="O94" s="26"/>
      <c r="P94" s="26"/>
      <c r="Q94" s="26"/>
      <c r="R94" s="26"/>
    </row>
    <row r="95" spans="2:18" ht="16.5" x14ac:dyDescent="0.3">
      <c r="B95" s="343" t="s">
        <v>107</v>
      </c>
      <c r="C95" s="344" t="s">
        <v>395</v>
      </c>
      <c r="D95" s="345" t="s">
        <v>435</v>
      </c>
      <c r="F95"/>
      <c r="G95"/>
      <c r="H95"/>
      <c r="J95" s="26"/>
      <c r="K95" s="26"/>
      <c r="L95" s="26"/>
      <c r="M95" s="26"/>
      <c r="O95" s="26"/>
      <c r="P95" s="26"/>
      <c r="Q95" s="26"/>
      <c r="R95" s="26"/>
    </row>
    <row r="96" spans="2:18" ht="16.5" x14ac:dyDescent="0.3">
      <c r="B96" s="343" t="s">
        <v>107</v>
      </c>
      <c r="C96" s="344" t="s">
        <v>408</v>
      </c>
      <c r="D96" s="345" t="s">
        <v>113</v>
      </c>
      <c r="F96"/>
      <c r="G96"/>
      <c r="H96"/>
      <c r="J96" s="26"/>
      <c r="K96" s="26"/>
      <c r="L96" s="26"/>
      <c r="M96" s="26"/>
      <c r="O96" s="26"/>
      <c r="P96" s="26"/>
      <c r="Q96" s="26"/>
      <c r="R96" s="26"/>
    </row>
    <row r="97" spans="2:18" ht="16.5" x14ac:dyDescent="0.3">
      <c r="B97" s="343" t="s">
        <v>107</v>
      </c>
      <c r="C97" s="344" t="s">
        <v>408</v>
      </c>
      <c r="D97" s="345" t="s">
        <v>1162</v>
      </c>
      <c r="F97"/>
      <c r="G97"/>
      <c r="H97"/>
      <c r="J97" s="26"/>
      <c r="K97" s="26"/>
      <c r="L97" s="26"/>
      <c r="M97" s="26"/>
      <c r="O97" s="26"/>
      <c r="P97" s="26"/>
      <c r="Q97" s="26"/>
      <c r="R97" s="26"/>
    </row>
    <row r="98" spans="2:18" ht="16.5" x14ac:dyDescent="0.3">
      <c r="B98" s="343" t="s">
        <v>107</v>
      </c>
      <c r="C98" s="344" t="s">
        <v>395</v>
      </c>
      <c r="D98" s="345" t="s">
        <v>117</v>
      </c>
      <c r="F98"/>
      <c r="G98"/>
      <c r="H98"/>
      <c r="J98" s="26"/>
      <c r="K98" s="26"/>
      <c r="L98" s="26"/>
      <c r="M98" s="26"/>
      <c r="O98" s="26"/>
      <c r="P98" s="26"/>
      <c r="Q98" s="26"/>
      <c r="R98" s="26"/>
    </row>
    <row r="99" spans="2:18" ht="16.5" x14ac:dyDescent="0.3">
      <c r="B99" s="343" t="s">
        <v>107</v>
      </c>
      <c r="C99" s="344" t="s">
        <v>395</v>
      </c>
      <c r="D99" s="345" t="s">
        <v>436</v>
      </c>
      <c r="F99"/>
      <c r="G99"/>
      <c r="H99"/>
      <c r="J99" s="26"/>
      <c r="K99" s="26"/>
      <c r="L99" s="26"/>
      <c r="M99" s="26"/>
      <c r="O99" s="26"/>
      <c r="P99" s="26"/>
      <c r="Q99" s="26"/>
      <c r="R99" s="26"/>
    </row>
    <row r="100" spans="2:18" ht="16.5" x14ac:dyDescent="0.3">
      <c r="B100" s="343" t="s">
        <v>107</v>
      </c>
      <c r="C100" s="344" t="s">
        <v>395</v>
      </c>
      <c r="D100" s="345" t="s">
        <v>437</v>
      </c>
      <c r="F100"/>
      <c r="G100"/>
      <c r="H100"/>
      <c r="J100" s="26"/>
      <c r="K100" s="26"/>
      <c r="L100" s="26"/>
      <c r="M100" s="26"/>
      <c r="O100" s="26"/>
      <c r="P100" s="26"/>
      <c r="Q100" s="26"/>
      <c r="R100" s="26"/>
    </row>
    <row r="101" spans="2:18" ht="16.5" x14ac:dyDescent="0.3">
      <c r="B101" s="343" t="s">
        <v>107</v>
      </c>
      <c r="C101" s="344" t="s">
        <v>395</v>
      </c>
      <c r="D101" s="345" t="s">
        <v>438</v>
      </c>
      <c r="F101"/>
      <c r="G101"/>
      <c r="H101"/>
      <c r="J101" s="26"/>
      <c r="K101" s="26"/>
      <c r="L101" s="26"/>
      <c r="M101" s="26"/>
      <c r="O101" s="26"/>
      <c r="P101" s="26"/>
      <c r="Q101" s="26"/>
      <c r="R101" s="26"/>
    </row>
    <row r="102" spans="2:18" ht="16.5" x14ac:dyDescent="0.3">
      <c r="B102" s="343" t="s">
        <v>107</v>
      </c>
      <c r="C102" s="344" t="s">
        <v>395</v>
      </c>
      <c r="D102" s="345" t="s">
        <v>439</v>
      </c>
      <c r="F102"/>
      <c r="G102"/>
      <c r="H102"/>
      <c r="J102" s="26"/>
      <c r="K102" s="26"/>
      <c r="L102" s="26"/>
      <c r="M102" s="26"/>
      <c r="O102" s="26"/>
      <c r="P102" s="26"/>
      <c r="Q102" s="26"/>
      <c r="R102" s="26"/>
    </row>
    <row r="103" spans="2:18" ht="16.5" x14ac:dyDescent="0.3">
      <c r="B103" s="343" t="s">
        <v>107</v>
      </c>
      <c r="C103" s="344" t="s">
        <v>395</v>
      </c>
      <c r="D103" s="345" t="s">
        <v>440</v>
      </c>
      <c r="F103"/>
      <c r="G103"/>
      <c r="H103"/>
      <c r="J103" s="26"/>
      <c r="K103" s="26"/>
      <c r="L103" s="26"/>
      <c r="M103" s="26"/>
      <c r="O103" s="26"/>
      <c r="P103" s="26"/>
      <c r="Q103" s="26"/>
      <c r="R103" s="26"/>
    </row>
    <row r="104" spans="2:18" ht="16.5" x14ac:dyDescent="0.3">
      <c r="B104" s="343" t="s">
        <v>107</v>
      </c>
      <c r="C104" s="344" t="s">
        <v>395</v>
      </c>
      <c r="D104" s="345" t="s">
        <v>441</v>
      </c>
      <c r="F104"/>
      <c r="G104"/>
      <c r="H104"/>
      <c r="J104" s="26"/>
      <c r="K104" s="26"/>
      <c r="L104" s="26"/>
      <c r="M104" s="26"/>
      <c r="O104" s="26"/>
      <c r="P104" s="26"/>
      <c r="Q104" s="26"/>
      <c r="R104" s="26"/>
    </row>
    <row r="105" spans="2:18" ht="16.5" x14ac:dyDescent="0.3">
      <c r="B105" s="343" t="s">
        <v>107</v>
      </c>
      <c r="C105" s="344" t="s">
        <v>408</v>
      </c>
      <c r="D105" s="345" t="s">
        <v>442</v>
      </c>
      <c r="F105"/>
      <c r="G105"/>
      <c r="H105"/>
      <c r="J105" s="26"/>
      <c r="K105" s="26"/>
      <c r="L105" s="26"/>
      <c r="M105" s="26"/>
      <c r="O105" s="26"/>
      <c r="P105" s="26"/>
      <c r="Q105" s="26"/>
      <c r="R105" s="26"/>
    </row>
    <row r="106" spans="2:18" ht="16.5" x14ac:dyDescent="0.3">
      <c r="B106" s="343" t="s">
        <v>107</v>
      </c>
      <c r="C106" s="344" t="s">
        <v>408</v>
      </c>
      <c r="D106" s="345" t="s">
        <v>114</v>
      </c>
      <c r="F106"/>
      <c r="G106"/>
      <c r="H106"/>
      <c r="J106" s="26"/>
      <c r="K106" s="26"/>
      <c r="L106" s="26"/>
      <c r="M106" s="26"/>
      <c r="O106" s="26"/>
      <c r="P106" s="26"/>
      <c r="Q106" s="26"/>
      <c r="R106" s="26"/>
    </row>
    <row r="107" spans="2:18" ht="16.5" x14ac:dyDescent="0.3">
      <c r="B107" s="343" t="s">
        <v>107</v>
      </c>
      <c r="C107" s="344" t="s">
        <v>395</v>
      </c>
      <c r="D107" s="345" t="s">
        <v>443</v>
      </c>
      <c r="F107"/>
      <c r="G107"/>
      <c r="H107"/>
      <c r="J107" s="26"/>
      <c r="K107" s="26"/>
      <c r="L107" s="26"/>
      <c r="M107" s="26"/>
      <c r="O107" s="26"/>
      <c r="P107" s="26"/>
      <c r="Q107" s="26"/>
      <c r="R107" s="26"/>
    </row>
    <row r="108" spans="2:18" ht="16.5" x14ac:dyDescent="0.3">
      <c r="B108" s="343" t="s">
        <v>107</v>
      </c>
      <c r="C108" s="344" t="s">
        <v>408</v>
      </c>
      <c r="D108" s="345" t="s">
        <v>115</v>
      </c>
      <c r="F108"/>
      <c r="G108"/>
      <c r="H108"/>
      <c r="J108" s="26"/>
      <c r="K108" s="26"/>
      <c r="L108" s="26"/>
      <c r="M108" s="26"/>
      <c r="O108" s="26"/>
      <c r="P108" s="26"/>
      <c r="Q108" s="26"/>
      <c r="R108" s="26"/>
    </row>
    <row r="109" spans="2:18" ht="16.5" x14ac:dyDescent="0.3">
      <c r="B109" s="343" t="s">
        <v>107</v>
      </c>
      <c r="C109" s="344" t="s">
        <v>408</v>
      </c>
      <c r="D109" s="345" t="s">
        <v>1164</v>
      </c>
      <c r="F109"/>
      <c r="G109"/>
      <c r="H109"/>
      <c r="J109" s="26"/>
      <c r="K109" s="26"/>
      <c r="L109" s="26"/>
      <c r="M109" s="26"/>
      <c r="O109" s="26"/>
      <c r="P109" s="26"/>
      <c r="Q109" s="26"/>
      <c r="R109" s="26"/>
    </row>
    <row r="110" spans="2:18" ht="16.5" x14ac:dyDescent="0.3">
      <c r="B110" s="343" t="s">
        <v>107</v>
      </c>
      <c r="C110" s="344" t="s">
        <v>395</v>
      </c>
      <c r="D110" s="345" t="s">
        <v>444</v>
      </c>
      <c r="F110"/>
      <c r="G110"/>
      <c r="H110"/>
      <c r="J110" s="26"/>
      <c r="K110" s="26"/>
      <c r="L110" s="26"/>
      <c r="M110" s="26"/>
      <c r="O110" s="26"/>
      <c r="P110" s="26"/>
      <c r="Q110" s="26"/>
      <c r="R110" s="26"/>
    </row>
    <row r="111" spans="2:18" ht="16.5" x14ac:dyDescent="0.3">
      <c r="B111" s="343" t="s">
        <v>107</v>
      </c>
      <c r="C111" s="344" t="s">
        <v>395</v>
      </c>
      <c r="D111" s="345" t="s">
        <v>445</v>
      </c>
      <c r="F111"/>
      <c r="G111"/>
      <c r="H111"/>
      <c r="J111" s="26"/>
      <c r="K111" s="26"/>
      <c r="L111" s="26"/>
      <c r="M111" s="26"/>
      <c r="O111" s="26"/>
      <c r="P111" s="26"/>
      <c r="Q111" s="26"/>
      <c r="R111" s="26"/>
    </row>
    <row r="112" spans="2:18" ht="16.5" x14ac:dyDescent="0.3">
      <c r="B112" s="343" t="s">
        <v>107</v>
      </c>
      <c r="C112" s="344" t="s">
        <v>395</v>
      </c>
      <c r="D112" s="345" t="s">
        <v>446</v>
      </c>
      <c r="F112"/>
      <c r="G112"/>
      <c r="H112"/>
      <c r="J112" s="26"/>
      <c r="K112" s="26"/>
      <c r="L112" s="26"/>
      <c r="M112" s="26"/>
      <c r="O112" s="26"/>
      <c r="P112" s="26"/>
      <c r="Q112" s="26"/>
      <c r="R112" s="26"/>
    </row>
    <row r="113" spans="2:18" ht="16.5" x14ac:dyDescent="0.3">
      <c r="B113" s="343" t="s">
        <v>107</v>
      </c>
      <c r="C113" s="344" t="s">
        <v>395</v>
      </c>
      <c r="D113" s="345" t="s">
        <v>151</v>
      </c>
      <c r="F113"/>
      <c r="G113"/>
      <c r="H113"/>
      <c r="J113" s="26"/>
      <c r="K113" s="26"/>
      <c r="L113" s="26"/>
      <c r="M113" s="26"/>
      <c r="O113" s="26"/>
      <c r="P113" s="26"/>
      <c r="Q113" s="26"/>
      <c r="R113" s="26"/>
    </row>
    <row r="114" spans="2:18" ht="16.5" x14ac:dyDescent="0.3">
      <c r="B114" s="343" t="s">
        <v>107</v>
      </c>
      <c r="C114" s="344" t="s">
        <v>395</v>
      </c>
      <c r="D114" s="345" t="s">
        <v>447</v>
      </c>
      <c r="F114"/>
      <c r="G114"/>
      <c r="H114"/>
      <c r="J114" s="26"/>
      <c r="K114" s="26"/>
      <c r="L114" s="26"/>
      <c r="M114" s="26"/>
      <c r="O114" s="26"/>
      <c r="P114" s="26"/>
      <c r="Q114" s="26"/>
      <c r="R114" s="26"/>
    </row>
    <row r="115" spans="2:18" ht="16.5" x14ac:dyDescent="0.3">
      <c r="B115" s="343" t="s">
        <v>107</v>
      </c>
      <c r="C115" s="344" t="s">
        <v>395</v>
      </c>
      <c r="D115" s="345" t="s">
        <v>448</v>
      </c>
      <c r="F115"/>
      <c r="G115"/>
      <c r="H115"/>
      <c r="J115" s="26"/>
      <c r="K115" s="26"/>
      <c r="L115" s="26"/>
      <c r="M115" s="26"/>
      <c r="O115" s="26"/>
      <c r="P115" s="26"/>
      <c r="Q115" s="26"/>
      <c r="R115" s="26"/>
    </row>
    <row r="116" spans="2:18" ht="16.5" x14ac:dyDescent="0.3">
      <c r="B116" s="343" t="s">
        <v>107</v>
      </c>
      <c r="C116" s="344" t="s">
        <v>413</v>
      </c>
      <c r="D116" s="345" t="s">
        <v>449</v>
      </c>
      <c r="F116"/>
      <c r="G116"/>
      <c r="H116"/>
      <c r="J116" s="26"/>
      <c r="K116" s="26"/>
      <c r="L116" s="26"/>
      <c r="M116" s="26"/>
      <c r="O116" s="26"/>
      <c r="P116" s="26"/>
      <c r="Q116" s="26"/>
      <c r="R116" s="26"/>
    </row>
    <row r="117" spans="2:18" ht="16.5" x14ac:dyDescent="0.3">
      <c r="B117" s="343" t="s">
        <v>107</v>
      </c>
      <c r="C117" s="344" t="s">
        <v>450</v>
      </c>
      <c r="D117" s="345" t="s">
        <v>451</v>
      </c>
      <c r="F117"/>
      <c r="G117"/>
      <c r="H117"/>
      <c r="J117" s="26"/>
      <c r="K117" s="26"/>
      <c r="L117" s="26"/>
      <c r="M117" s="26"/>
      <c r="O117" s="26"/>
      <c r="P117" s="26"/>
      <c r="Q117" s="26"/>
      <c r="R117" s="26"/>
    </row>
    <row r="118" spans="2:18" ht="16.5" x14ac:dyDescent="0.3">
      <c r="B118" s="343" t="s">
        <v>107</v>
      </c>
      <c r="C118" s="344" t="s">
        <v>395</v>
      </c>
      <c r="D118" s="345" t="s">
        <v>452</v>
      </c>
      <c r="F118"/>
      <c r="G118"/>
      <c r="H118"/>
      <c r="J118" s="26"/>
      <c r="K118" s="26"/>
      <c r="L118" s="26"/>
      <c r="M118" s="26"/>
      <c r="O118" s="26"/>
      <c r="P118" s="26"/>
      <c r="Q118" s="26"/>
      <c r="R118" s="26"/>
    </row>
    <row r="119" spans="2:18" ht="16.5" x14ac:dyDescent="0.3">
      <c r="B119" s="343" t="s">
        <v>107</v>
      </c>
      <c r="C119" s="344" t="s">
        <v>453</v>
      </c>
      <c r="D119" s="345" t="s">
        <v>454</v>
      </c>
      <c r="F119"/>
      <c r="G119"/>
      <c r="H119"/>
      <c r="J119" s="26"/>
      <c r="K119" s="26"/>
      <c r="L119" s="26"/>
      <c r="M119" s="26"/>
      <c r="O119" s="26"/>
      <c r="P119" s="26"/>
      <c r="Q119" s="26"/>
      <c r="R119" s="26"/>
    </row>
    <row r="120" spans="2:18" ht="16.5" x14ac:dyDescent="0.3">
      <c r="B120" s="343" t="s">
        <v>107</v>
      </c>
      <c r="C120" s="344" t="s">
        <v>453</v>
      </c>
      <c r="D120" s="345" t="s">
        <v>455</v>
      </c>
      <c r="F120"/>
      <c r="G120"/>
      <c r="H120"/>
      <c r="J120" s="26"/>
      <c r="K120" s="26"/>
      <c r="L120" s="26"/>
      <c r="M120" s="26"/>
      <c r="O120" s="26"/>
      <c r="P120" s="26"/>
      <c r="Q120" s="26"/>
      <c r="R120" s="26"/>
    </row>
    <row r="121" spans="2:18" ht="16.5" x14ac:dyDescent="0.3">
      <c r="B121" s="343" t="s">
        <v>107</v>
      </c>
      <c r="C121" s="344" t="s">
        <v>453</v>
      </c>
      <c r="D121" s="345" t="s">
        <v>155</v>
      </c>
      <c r="F121"/>
      <c r="G121"/>
      <c r="H121"/>
      <c r="J121" s="26"/>
      <c r="K121" s="26"/>
      <c r="L121" s="26"/>
      <c r="M121" s="26"/>
      <c r="O121" s="26"/>
      <c r="P121" s="26"/>
      <c r="Q121" s="26"/>
      <c r="R121" s="26"/>
    </row>
    <row r="122" spans="2:18" ht="16.5" x14ac:dyDescent="0.3">
      <c r="B122" s="343" t="s">
        <v>107</v>
      </c>
      <c r="C122" s="344" t="s">
        <v>453</v>
      </c>
      <c r="D122" s="345" t="s">
        <v>171</v>
      </c>
      <c r="F122"/>
      <c r="G122"/>
      <c r="H122"/>
      <c r="J122" s="26"/>
      <c r="K122" s="26"/>
      <c r="L122" s="26"/>
      <c r="M122" s="26"/>
      <c r="O122" s="26"/>
      <c r="P122" s="26"/>
      <c r="Q122" s="26"/>
      <c r="R122" s="26"/>
    </row>
    <row r="123" spans="2:18" ht="16.5" x14ac:dyDescent="0.3">
      <c r="B123" s="343" t="s">
        <v>107</v>
      </c>
      <c r="C123" s="344" t="s">
        <v>395</v>
      </c>
      <c r="D123" s="345" t="s">
        <v>1184</v>
      </c>
      <c r="F123"/>
      <c r="G123"/>
      <c r="H123"/>
      <c r="J123" s="26"/>
      <c r="K123" s="26"/>
      <c r="L123" s="26"/>
      <c r="M123" s="26"/>
      <c r="O123" s="26"/>
      <c r="P123" s="26"/>
      <c r="Q123" s="26"/>
      <c r="R123" s="26"/>
    </row>
    <row r="124" spans="2:18" ht="16.5" x14ac:dyDescent="0.3">
      <c r="B124" s="343" t="s">
        <v>107</v>
      </c>
      <c r="C124" s="344" t="s">
        <v>395</v>
      </c>
      <c r="D124" s="345" t="s">
        <v>1185</v>
      </c>
      <c r="F124"/>
      <c r="G124"/>
      <c r="H124"/>
      <c r="J124" s="26"/>
      <c r="K124" s="26"/>
      <c r="L124" s="26"/>
      <c r="M124" s="26"/>
      <c r="O124" s="26"/>
      <c r="P124" s="26"/>
      <c r="Q124" s="26"/>
      <c r="R124" s="26"/>
    </row>
    <row r="125" spans="2:18" ht="16.5" x14ac:dyDescent="0.3">
      <c r="B125" s="343" t="s">
        <v>107</v>
      </c>
      <c r="C125" s="344" t="s">
        <v>395</v>
      </c>
      <c r="D125" s="345" t="s">
        <v>1186</v>
      </c>
      <c r="F125"/>
      <c r="G125"/>
      <c r="H125"/>
      <c r="J125" s="26"/>
      <c r="K125" s="26"/>
      <c r="L125" s="26"/>
      <c r="M125" s="26"/>
      <c r="O125" s="26"/>
      <c r="P125" s="26"/>
      <c r="Q125" s="26"/>
      <c r="R125" s="26"/>
    </row>
    <row r="126" spans="2:18" ht="16.5" x14ac:dyDescent="0.3">
      <c r="B126" s="343" t="s">
        <v>107</v>
      </c>
      <c r="C126" s="344" t="s">
        <v>395</v>
      </c>
      <c r="D126" s="345" t="s">
        <v>1187</v>
      </c>
      <c r="F126"/>
      <c r="G126"/>
      <c r="H126"/>
      <c r="J126" s="26"/>
      <c r="K126" s="26"/>
      <c r="L126" s="26"/>
      <c r="M126" s="26"/>
      <c r="O126" s="26"/>
      <c r="P126" s="26"/>
      <c r="Q126" s="26"/>
      <c r="R126" s="26"/>
    </row>
    <row r="127" spans="2:18" ht="16.5" x14ac:dyDescent="0.3">
      <c r="B127" s="343" t="s">
        <v>107</v>
      </c>
      <c r="C127" s="344" t="s">
        <v>395</v>
      </c>
      <c r="D127" s="345" t="s">
        <v>1188</v>
      </c>
      <c r="F127"/>
      <c r="G127"/>
      <c r="H127"/>
      <c r="J127" s="26"/>
      <c r="K127" s="26"/>
      <c r="L127" s="26"/>
      <c r="M127" s="26"/>
      <c r="O127" s="26"/>
      <c r="P127" s="26"/>
      <c r="Q127" s="26"/>
      <c r="R127" s="26"/>
    </row>
    <row r="128" spans="2:18" ht="16.5" x14ac:dyDescent="0.3">
      <c r="B128" s="343" t="s">
        <v>107</v>
      </c>
      <c r="C128" s="344" t="s">
        <v>395</v>
      </c>
      <c r="D128" s="345" t="s">
        <v>1189</v>
      </c>
      <c r="F128"/>
      <c r="G128"/>
      <c r="H128"/>
      <c r="J128" s="26"/>
      <c r="K128" s="26"/>
      <c r="L128" s="26"/>
      <c r="M128" s="26"/>
      <c r="O128" s="26"/>
      <c r="P128" s="26"/>
      <c r="Q128" s="26"/>
      <c r="R128" s="26"/>
    </row>
    <row r="129" spans="2:18" ht="16.5" x14ac:dyDescent="0.3">
      <c r="B129" s="343" t="s">
        <v>107</v>
      </c>
      <c r="C129" s="344" t="s">
        <v>395</v>
      </c>
      <c r="D129" s="345" t="s">
        <v>1190</v>
      </c>
      <c r="F129"/>
      <c r="G129"/>
      <c r="H129"/>
      <c r="J129" s="26"/>
      <c r="K129" s="26"/>
      <c r="L129" s="26"/>
      <c r="M129" s="26"/>
      <c r="O129" s="26"/>
      <c r="P129" s="26"/>
      <c r="Q129" s="26"/>
      <c r="R129" s="26"/>
    </row>
    <row r="130" spans="2:18" ht="16.5" x14ac:dyDescent="0.3">
      <c r="B130" s="343" t="s">
        <v>107</v>
      </c>
      <c r="C130" s="344" t="s">
        <v>453</v>
      </c>
      <c r="D130" s="345" t="s">
        <v>1196</v>
      </c>
      <c r="F130"/>
      <c r="G130"/>
      <c r="H130"/>
      <c r="J130" s="26"/>
      <c r="K130" s="26"/>
      <c r="L130" s="26"/>
      <c r="M130" s="26"/>
      <c r="O130" s="26"/>
      <c r="P130" s="26"/>
      <c r="Q130" s="26"/>
      <c r="R130" s="26"/>
    </row>
    <row r="131" spans="2:18" ht="16.5" x14ac:dyDescent="0.3">
      <c r="B131" s="343" t="s">
        <v>107</v>
      </c>
      <c r="C131" s="344" t="s">
        <v>450</v>
      </c>
      <c r="D131" s="345" t="s">
        <v>1254</v>
      </c>
      <c r="F131"/>
      <c r="G131"/>
      <c r="H131"/>
      <c r="J131" s="26"/>
      <c r="K131" s="26"/>
      <c r="L131" s="26"/>
      <c r="M131" s="26"/>
      <c r="O131" s="26"/>
      <c r="P131" s="26"/>
      <c r="Q131" s="26"/>
      <c r="R131" s="26"/>
    </row>
    <row r="132" spans="2:18" ht="16.5" x14ac:dyDescent="0.3">
      <c r="B132" s="343" t="s">
        <v>107</v>
      </c>
      <c r="C132" s="344" t="s">
        <v>1268</v>
      </c>
      <c r="D132" s="345" t="s">
        <v>1269</v>
      </c>
      <c r="F132"/>
      <c r="G132"/>
      <c r="H132"/>
      <c r="J132" s="26"/>
      <c r="K132" s="26"/>
      <c r="L132" s="26"/>
      <c r="M132" s="26"/>
      <c r="O132" s="26"/>
      <c r="P132" s="26"/>
      <c r="Q132" s="26"/>
      <c r="R132" s="26"/>
    </row>
    <row r="133" spans="2:18" ht="16.5" x14ac:dyDescent="0.3">
      <c r="B133" s="343" t="s">
        <v>107</v>
      </c>
      <c r="C133" s="344" t="s">
        <v>1264</v>
      </c>
      <c r="D133" s="345" t="s">
        <v>1265</v>
      </c>
      <c r="F133"/>
      <c r="G133"/>
      <c r="H133"/>
      <c r="J133" s="26"/>
      <c r="K133" s="26"/>
      <c r="L133" s="26"/>
      <c r="M133" s="26"/>
      <c r="O133" s="26"/>
      <c r="P133" s="26"/>
      <c r="Q133" s="26"/>
      <c r="R133" s="26"/>
    </row>
    <row r="134" spans="2:18" ht="16.5" x14ac:dyDescent="0.3">
      <c r="B134" s="343" t="s">
        <v>107</v>
      </c>
      <c r="C134" s="344" t="s">
        <v>413</v>
      </c>
      <c r="D134" s="345" t="s">
        <v>1250</v>
      </c>
      <c r="F134"/>
      <c r="G134"/>
      <c r="H134"/>
      <c r="J134" s="26"/>
      <c r="K134" s="26"/>
      <c r="L134" s="26"/>
      <c r="M134" s="26"/>
      <c r="O134" s="26"/>
      <c r="P134" s="26"/>
      <c r="Q134" s="26"/>
      <c r="R134" s="26"/>
    </row>
    <row r="135" spans="2:18" ht="16.5" x14ac:dyDescent="0.3">
      <c r="B135" s="343" t="s">
        <v>107</v>
      </c>
      <c r="C135" s="344" t="s">
        <v>1268</v>
      </c>
      <c r="D135" s="345" t="s">
        <v>1270</v>
      </c>
      <c r="F135"/>
      <c r="G135"/>
      <c r="H135"/>
      <c r="J135" s="26"/>
      <c r="K135" s="26"/>
      <c r="L135" s="26"/>
      <c r="M135" s="26"/>
      <c r="O135" s="26"/>
      <c r="P135" s="26"/>
      <c r="Q135" s="26"/>
      <c r="R135" s="26"/>
    </row>
    <row r="136" spans="2:18" ht="16.5" x14ac:dyDescent="0.3">
      <c r="B136" s="343" t="s">
        <v>107</v>
      </c>
      <c r="C136" s="344" t="s">
        <v>408</v>
      </c>
      <c r="D136" s="345" t="s">
        <v>1283</v>
      </c>
      <c r="F136"/>
      <c r="G136"/>
      <c r="H136"/>
      <c r="J136" s="26"/>
      <c r="K136" s="26"/>
      <c r="L136" s="26"/>
      <c r="M136" s="26"/>
      <c r="O136" s="26"/>
      <c r="P136" s="26"/>
      <c r="Q136" s="26"/>
      <c r="R136" s="26"/>
    </row>
    <row r="137" spans="2:18" ht="16.5" x14ac:dyDescent="0.3">
      <c r="B137" s="343" t="s">
        <v>107</v>
      </c>
      <c r="C137" s="344" t="s">
        <v>408</v>
      </c>
      <c r="D137" s="345" t="s">
        <v>1284</v>
      </c>
      <c r="F137"/>
      <c r="G137"/>
      <c r="H137"/>
      <c r="J137" s="26"/>
      <c r="K137" s="26"/>
      <c r="L137" s="26"/>
      <c r="M137" s="26"/>
      <c r="O137" s="26"/>
      <c r="P137" s="26"/>
      <c r="Q137" s="26"/>
      <c r="R137" s="26"/>
    </row>
    <row r="138" spans="2:18" ht="16.5" x14ac:dyDescent="0.3">
      <c r="B138" s="343" t="s">
        <v>107</v>
      </c>
      <c r="C138" s="344" t="s">
        <v>408</v>
      </c>
      <c r="D138" s="345" t="s">
        <v>1285</v>
      </c>
      <c r="F138"/>
      <c r="G138"/>
      <c r="H138"/>
      <c r="J138" s="26"/>
      <c r="K138" s="26"/>
      <c r="L138" s="26"/>
      <c r="M138" s="26"/>
      <c r="O138" s="26"/>
      <c r="P138" s="26"/>
      <c r="Q138" s="26"/>
      <c r="R138" s="26"/>
    </row>
    <row r="139" spans="2:18" ht="16.5" x14ac:dyDescent="0.3">
      <c r="B139" s="343" t="s">
        <v>107</v>
      </c>
      <c r="C139" s="344" t="s">
        <v>450</v>
      </c>
      <c r="D139" s="345" t="s">
        <v>1255</v>
      </c>
      <c r="F139"/>
      <c r="G139"/>
      <c r="H139"/>
      <c r="J139" s="26"/>
      <c r="K139" s="26"/>
      <c r="L139" s="26"/>
      <c r="M139" s="26"/>
      <c r="O139" s="26"/>
      <c r="P139" s="26"/>
      <c r="Q139" s="26"/>
      <c r="R139" s="26"/>
    </row>
    <row r="140" spans="2:18" ht="16.5" x14ac:dyDescent="0.3">
      <c r="B140" s="343" t="s">
        <v>107</v>
      </c>
      <c r="C140" s="344" t="s">
        <v>450</v>
      </c>
      <c r="D140" s="345" t="s">
        <v>1256</v>
      </c>
      <c r="F140"/>
      <c r="G140"/>
      <c r="H140"/>
      <c r="J140" s="26"/>
      <c r="K140" s="26"/>
      <c r="L140" s="26"/>
      <c r="M140" s="26"/>
      <c r="O140" s="26"/>
      <c r="P140" s="26"/>
      <c r="Q140" s="26"/>
      <c r="R140" s="26"/>
    </row>
    <row r="141" spans="2:18" ht="16.5" x14ac:dyDescent="0.3">
      <c r="B141" s="343" t="s">
        <v>107</v>
      </c>
      <c r="C141" s="344" t="s">
        <v>408</v>
      </c>
      <c r="D141" s="345" t="s">
        <v>1286</v>
      </c>
      <c r="F141"/>
      <c r="G141"/>
      <c r="H141"/>
      <c r="J141" s="26"/>
      <c r="K141" s="26"/>
      <c r="L141" s="26"/>
      <c r="M141" s="26"/>
      <c r="O141" s="26"/>
      <c r="P141" s="26"/>
      <c r="Q141" s="26"/>
      <c r="R141" s="26"/>
    </row>
    <row r="142" spans="2:18" ht="16.5" x14ac:dyDescent="0.3">
      <c r="B142" s="343" t="s">
        <v>107</v>
      </c>
      <c r="C142" s="344" t="s">
        <v>450</v>
      </c>
      <c r="D142" s="345" t="s">
        <v>1257</v>
      </c>
      <c r="F142"/>
      <c r="G142"/>
      <c r="H142"/>
      <c r="J142" s="26"/>
      <c r="K142" s="26"/>
      <c r="L142" s="26"/>
      <c r="M142" s="26"/>
      <c r="O142" s="26"/>
      <c r="P142" s="26"/>
      <c r="Q142" s="26"/>
      <c r="R142" s="26"/>
    </row>
    <row r="143" spans="2:18" ht="16.5" x14ac:dyDescent="0.3">
      <c r="B143" s="343" t="s">
        <v>107</v>
      </c>
      <c r="C143" s="344" t="s">
        <v>1268</v>
      </c>
      <c r="D143" s="345" t="s">
        <v>1271</v>
      </c>
      <c r="F143"/>
      <c r="G143"/>
      <c r="H143"/>
      <c r="J143" s="26"/>
      <c r="K143" s="26"/>
      <c r="L143" s="26"/>
      <c r="M143" s="26"/>
      <c r="O143" s="26"/>
      <c r="P143" s="26"/>
      <c r="Q143" s="26"/>
      <c r="R143" s="26"/>
    </row>
    <row r="144" spans="2:18" ht="16.5" x14ac:dyDescent="0.3">
      <c r="B144" s="343" t="s">
        <v>107</v>
      </c>
      <c r="C144" s="344" t="s">
        <v>1268</v>
      </c>
      <c r="D144" s="345" t="s">
        <v>1272</v>
      </c>
      <c r="F144"/>
      <c r="G144"/>
      <c r="H144"/>
      <c r="J144" s="26"/>
      <c r="K144" s="26"/>
      <c r="L144" s="26"/>
      <c r="M144" s="26"/>
      <c r="O144" s="26"/>
      <c r="P144" s="26"/>
      <c r="Q144" s="26"/>
      <c r="R144" s="26"/>
    </row>
    <row r="145" spans="2:18" ht="16.5" x14ac:dyDescent="0.3">
      <c r="B145" s="343" t="s">
        <v>107</v>
      </c>
      <c r="C145" s="344" t="s">
        <v>1268</v>
      </c>
      <c r="D145" s="345" t="s">
        <v>1273</v>
      </c>
      <c r="F145"/>
      <c r="G145"/>
      <c r="H145"/>
      <c r="J145" s="26"/>
      <c r="K145" s="26"/>
      <c r="L145" s="26"/>
      <c r="M145" s="26"/>
      <c r="O145" s="26"/>
      <c r="P145" s="26"/>
      <c r="Q145" s="26"/>
      <c r="R145" s="26"/>
    </row>
    <row r="146" spans="2:18" ht="16.5" x14ac:dyDescent="0.3">
      <c r="B146" s="343" t="s">
        <v>107</v>
      </c>
      <c r="C146" s="344" t="s">
        <v>1268</v>
      </c>
      <c r="D146" s="345" t="s">
        <v>1274</v>
      </c>
      <c r="F146"/>
      <c r="G146"/>
      <c r="H146"/>
      <c r="J146" s="26"/>
      <c r="K146" s="26"/>
      <c r="L146" s="26"/>
      <c r="M146" s="26"/>
      <c r="O146" s="26"/>
      <c r="P146" s="26"/>
      <c r="Q146" s="26"/>
      <c r="R146" s="26"/>
    </row>
    <row r="147" spans="2:18" ht="16.5" x14ac:dyDescent="0.3">
      <c r="B147" s="343" t="s">
        <v>107</v>
      </c>
      <c r="C147" s="344" t="s">
        <v>413</v>
      </c>
      <c r="D147" s="345" t="s">
        <v>1251</v>
      </c>
      <c r="F147"/>
      <c r="G147"/>
      <c r="H147"/>
      <c r="J147" s="26"/>
      <c r="K147" s="26"/>
      <c r="L147" s="26"/>
      <c r="M147" s="26"/>
      <c r="O147" s="26"/>
      <c r="P147" s="26"/>
      <c r="Q147" s="26"/>
      <c r="R147" s="26"/>
    </row>
    <row r="148" spans="2:18" ht="16.5" x14ac:dyDescent="0.3">
      <c r="B148" s="343" t="s">
        <v>107</v>
      </c>
      <c r="C148" s="344" t="s">
        <v>408</v>
      </c>
      <c r="D148" s="345" t="s">
        <v>1287</v>
      </c>
      <c r="F148"/>
      <c r="G148"/>
      <c r="H148"/>
      <c r="J148" s="26"/>
      <c r="K148" s="26"/>
      <c r="L148" s="26"/>
      <c r="M148" s="26"/>
      <c r="O148" s="26"/>
      <c r="P148" s="26"/>
      <c r="Q148" s="26"/>
      <c r="R148" s="26"/>
    </row>
    <row r="149" spans="2:18" ht="16.5" x14ac:dyDescent="0.3">
      <c r="B149" s="343" t="s">
        <v>107</v>
      </c>
      <c r="C149" s="344" t="s">
        <v>408</v>
      </c>
      <c r="D149" s="345" t="s">
        <v>1288</v>
      </c>
      <c r="F149"/>
      <c r="G149"/>
      <c r="H149"/>
      <c r="J149" s="26"/>
      <c r="K149" s="26"/>
      <c r="L149" s="26"/>
      <c r="M149" s="26"/>
      <c r="O149" s="26"/>
      <c r="P149" s="26"/>
      <c r="Q149" s="26"/>
      <c r="R149" s="26"/>
    </row>
    <row r="150" spans="2:18" ht="16.5" x14ac:dyDescent="0.3">
      <c r="B150" s="343" t="s">
        <v>107</v>
      </c>
      <c r="C150" s="344" t="s">
        <v>408</v>
      </c>
      <c r="D150" s="345" t="s">
        <v>1289</v>
      </c>
      <c r="F150"/>
      <c r="G150"/>
      <c r="H150"/>
      <c r="J150" s="26"/>
      <c r="K150" s="26"/>
      <c r="L150" s="26"/>
      <c r="M150" s="26"/>
      <c r="O150" s="26"/>
      <c r="P150" s="26"/>
      <c r="Q150" s="26"/>
      <c r="R150" s="26"/>
    </row>
    <row r="151" spans="2:18" ht="16.5" x14ac:dyDescent="0.3">
      <c r="B151" s="343" t="s">
        <v>107</v>
      </c>
      <c r="C151" s="344" t="s">
        <v>450</v>
      </c>
      <c r="D151" s="345" t="s">
        <v>1258</v>
      </c>
      <c r="F151"/>
      <c r="G151"/>
      <c r="H151"/>
      <c r="J151" s="26"/>
      <c r="K151" s="26"/>
      <c r="L151" s="26"/>
      <c r="M151" s="26"/>
      <c r="O151" s="26"/>
      <c r="P151" s="26"/>
      <c r="Q151" s="26"/>
      <c r="R151" s="26"/>
    </row>
    <row r="152" spans="2:18" ht="16.5" x14ac:dyDescent="0.3">
      <c r="B152" s="343" t="s">
        <v>107</v>
      </c>
      <c r="C152" s="344" t="s">
        <v>450</v>
      </c>
      <c r="D152" s="345" t="s">
        <v>1259</v>
      </c>
      <c r="F152"/>
      <c r="G152"/>
      <c r="H152"/>
      <c r="J152" s="26"/>
      <c r="K152" s="26"/>
      <c r="L152" s="26"/>
      <c r="M152" s="26"/>
      <c r="O152" s="26"/>
      <c r="P152" s="26"/>
      <c r="Q152" s="26"/>
      <c r="R152" s="26"/>
    </row>
    <row r="153" spans="2:18" ht="16.5" x14ac:dyDescent="0.3">
      <c r="B153" s="343" t="s">
        <v>107</v>
      </c>
      <c r="C153" s="344" t="s">
        <v>408</v>
      </c>
      <c r="D153" s="345" t="s">
        <v>1290</v>
      </c>
      <c r="F153"/>
      <c r="G153"/>
      <c r="H153"/>
      <c r="J153" s="26"/>
      <c r="K153" s="26"/>
      <c r="L153" s="26"/>
      <c r="M153" s="26"/>
      <c r="O153" s="26"/>
      <c r="P153" s="26"/>
      <c r="Q153" s="26"/>
      <c r="R153" s="26"/>
    </row>
    <row r="154" spans="2:18" ht="16.5" x14ac:dyDescent="0.3">
      <c r="B154" s="343" t="s">
        <v>107</v>
      </c>
      <c r="C154" s="344" t="s">
        <v>450</v>
      </c>
      <c r="D154" s="345" t="s">
        <v>1260</v>
      </c>
      <c r="F154"/>
      <c r="G154"/>
      <c r="H154"/>
      <c r="J154" s="26"/>
      <c r="K154" s="26"/>
      <c r="L154" s="26"/>
      <c r="M154" s="26"/>
      <c r="O154" s="26"/>
      <c r="P154" s="26"/>
      <c r="Q154" s="26"/>
      <c r="R154" s="26"/>
    </row>
    <row r="155" spans="2:18" ht="16.5" x14ac:dyDescent="0.3">
      <c r="B155" s="343" t="s">
        <v>107</v>
      </c>
      <c r="C155" s="344" t="s">
        <v>413</v>
      </c>
      <c r="D155" s="345" t="s">
        <v>1252</v>
      </c>
      <c r="F155"/>
      <c r="G155"/>
      <c r="H155"/>
      <c r="J155" s="26"/>
      <c r="K155" s="26"/>
      <c r="L155" s="26"/>
      <c r="M155" s="26"/>
      <c r="O155" s="26"/>
      <c r="P155" s="26"/>
      <c r="Q155" s="26"/>
      <c r="R155" s="26"/>
    </row>
    <row r="156" spans="2:18" ht="16.5" x14ac:dyDescent="0.3">
      <c r="B156" s="343" t="s">
        <v>107</v>
      </c>
      <c r="C156" s="344" t="s">
        <v>1268</v>
      </c>
      <c r="D156" s="345" t="s">
        <v>1275</v>
      </c>
      <c r="F156"/>
      <c r="G156"/>
      <c r="H156"/>
      <c r="J156" s="26"/>
      <c r="K156" s="26"/>
      <c r="L156" s="26"/>
      <c r="M156" s="26"/>
      <c r="O156" s="26"/>
      <c r="P156" s="26"/>
      <c r="Q156" s="26"/>
      <c r="R156" s="26"/>
    </row>
    <row r="157" spans="2:18" ht="16.5" x14ac:dyDescent="0.3">
      <c r="B157" s="343" t="s">
        <v>107</v>
      </c>
      <c r="C157" s="344" t="s">
        <v>1268</v>
      </c>
      <c r="D157" s="345" t="s">
        <v>1276</v>
      </c>
      <c r="F157"/>
      <c r="G157"/>
      <c r="H157"/>
      <c r="J157" s="26"/>
      <c r="K157" s="26"/>
      <c r="L157" s="26"/>
      <c r="M157" s="26"/>
      <c r="O157" s="26"/>
      <c r="P157" s="26"/>
      <c r="Q157" s="26"/>
      <c r="R157" s="26"/>
    </row>
    <row r="158" spans="2:18" ht="16.5" x14ac:dyDescent="0.3">
      <c r="B158" s="343" t="s">
        <v>107</v>
      </c>
      <c r="C158" s="344" t="s">
        <v>1268</v>
      </c>
      <c r="D158" s="345" t="s">
        <v>1277</v>
      </c>
      <c r="F158"/>
      <c r="G158"/>
      <c r="H158"/>
      <c r="J158" s="26"/>
      <c r="K158" s="26"/>
      <c r="L158" s="26"/>
      <c r="M158" s="26"/>
      <c r="O158" s="26"/>
      <c r="P158" s="26"/>
      <c r="Q158" s="26"/>
      <c r="R158" s="26"/>
    </row>
    <row r="159" spans="2:18" ht="16.5" x14ac:dyDescent="0.3">
      <c r="B159" s="343" t="s">
        <v>107</v>
      </c>
      <c r="C159" s="344" t="s">
        <v>1268</v>
      </c>
      <c r="D159" s="345" t="s">
        <v>1278</v>
      </c>
      <c r="F159"/>
      <c r="G159"/>
      <c r="H159"/>
      <c r="J159" s="26"/>
      <c r="K159" s="26"/>
      <c r="L159" s="26"/>
      <c r="M159" s="26"/>
      <c r="O159" s="26"/>
      <c r="P159" s="26"/>
      <c r="Q159" s="26"/>
      <c r="R159" s="26"/>
    </row>
    <row r="160" spans="2:18" ht="16.5" x14ac:dyDescent="0.3">
      <c r="B160" s="343" t="s">
        <v>107</v>
      </c>
      <c r="C160" s="344" t="s">
        <v>408</v>
      </c>
      <c r="D160" s="345" t="s">
        <v>1291</v>
      </c>
      <c r="F160"/>
      <c r="G160"/>
      <c r="H160"/>
      <c r="J160" s="26"/>
      <c r="K160" s="26"/>
      <c r="L160" s="26"/>
      <c r="M160" s="26"/>
      <c r="O160" s="26"/>
      <c r="P160" s="26"/>
      <c r="Q160" s="26"/>
      <c r="R160" s="26"/>
    </row>
    <row r="161" spans="2:18" ht="16.5" x14ac:dyDescent="0.3">
      <c r="B161" s="343" t="s">
        <v>107</v>
      </c>
      <c r="C161" s="344" t="s">
        <v>408</v>
      </c>
      <c r="D161" s="345" t="s">
        <v>1292</v>
      </c>
      <c r="F161"/>
      <c r="G161"/>
      <c r="H161"/>
      <c r="J161" s="26"/>
      <c r="K161" s="26"/>
      <c r="L161" s="26"/>
      <c r="M161" s="26"/>
      <c r="O161" s="26"/>
      <c r="P161" s="26"/>
      <c r="Q161" s="26"/>
      <c r="R161" s="26"/>
    </row>
    <row r="162" spans="2:18" ht="16.5" x14ac:dyDescent="0.3">
      <c r="B162" s="343" t="s">
        <v>107</v>
      </c>
      <c r="C162" s="344" t="s">
        <v>408</v>
      </c>
      <c r="D162" s="345" t="s">
        <v>1293</v>
      </c>
      <c r="F162"/>
      <c r="G162"/>
      <c r="H162"/>
      <c r="J162" s="26"/>
      <c r="K162" s="26"/>
      <c r="L162" s="26"/>
      <c r="M162" s="26"/>
      <c r="O162" s="26"/>
      <c r="P162" s="26"/>
      <c r="Q162" s="26"/>
      <c r="R162" s="26"/>
    </row>
    <row r="163" spans="2:18" ht="16.5" x14ac:dyDescent="0.3">
      <c r="B163" s="343" t="s">
        <v>107</v>
      </c>
      <c r="C163" s="344" t="s">
        <v>450</v>
      </c>
      <c r="D163" s="345" t="s">
        <v>1261</v>
      </c>
      <c r="F163"/>
      <c r="G163"/>
      <c r="H163"/>
      <c r="J163" s="26"/>
      <c r="K163" s="26"/>
      <c r="L163" s="26"/>
      <c r="M163" s="26"/>
      <c r="O163" s="26"/>
      <c r="P163" s="26"/>
      <c r="Q163" s="26"/>
      <c r="R163" s="26"/>
    </row>
    <row r="164" spans="2:18" ht="16.5" x14ac:dyDescent="0.3">
      <c r="B164" s="343" t="s">
        <v>107</v>
      </c>
      <c r="C164" s="344" t="s">
        <v>450</v>
      </c>
      <c r="D164" s="345" t="s">
        <v>1262</v>
      </c>
      <c r="F164"/>
      <c r="G164"/>
      <c r="H164"/>
      <c r="J164" s="26"/>
      <c r="K164" s="26"/>
      <c r="L164" s="26"/>
      <c r="M164" s="26"/>
      <c r="O164" s="26"/>
      <c r="P164" s="26"/>
      <c r="Q164" s="26"/>
      <c r="R164" s="26"/>
    </row>
    <row r="165" spans="2:18" ht="16.5" x14ac:dyDescent="0.3">
      <c r="B165" s="343" t="s">
        <v>107</v>
      </c>
      <c r="C165" s="344" t="s">
        <v>408</v>
      </c>
      <c r="D165" s="345" t="s">
        <v>1294</v>
      </c>
      <c r="F165"/>
      <c r="G165"/>
      <c r="H165"/>
      <c r="J165" s="26"/>
      <c r="K165" s="26"/>
      <c r="L165" s="26"/>
      <c r="M165" s="26"/>
      <c r="O165" s="26"/>
      <c r="P165" s="26"/>
      <c r="Q165" s="26"/>
      <c r="R165" s="26"/>
    </row>
    <row r="166" spans="2:18" ht="16.5" x14ac:dyDescent="0.3">
      <c r="B166" s="343" t="s">
        <v>107</v>
      </c>
      <c r="C166" s="344" t="s">
        <v>450</v>
      </c>
      <c r="D166" s="345" t="s">
        <v>1263</v>
      </c>
      <c r="F166"/>
      <c r="G166"/>
      <c r="H166"/>
      <c r="J166" s="26"/>
      <c r="K166" s="26"/>
      <c r="L166" s="26"/>
      <c r="M166" s="26"/>
      <c r="O166" s="26"/>
      <c r="P166" s="26"/>
      <c r="Q166" s="26"/>
      <c r="R166" s="26"/>
    </row>
    <row r="167" spans="2:18" ht="16.5" x14ac:dyDescent="0.3">
      <c r="B167" s="343" t="s">
        <v>107</v>
      </c>
      <c r="C167" s="344" t="s">
        <v>1268</v>
      </c>
      <c r="D167" s="345" t="s">
        <v>1279</v>
      </c>
      <c r="F167"/>
      <c r="G167"/>
      <c r="H167"/>
      <c r="J167" s="26"/>
      <c r="K167" s="26"/>
      <c r="L167" s="26"/>
      <c r="M167" s="26"/>
      <c r="O167" s="26"/>
      <c r="P167" s="26"/>
      <c r="Q167" s="26"/>
      <c r="R167" s="26"/>
    </row>
    <row r="168" spans="2:18" ht="16.5" x14ac:dyDescent="0.3">
      <c r="B168" s="343" t="s">
        <v>107</v>
      </c>
      <c r="C168" s="344" t="s">
        <v>1268</v>
      </c>
      <c r="D168" s="345" t="s">
        <v>1280</v>
      </c>
      <c r="F168"/>
      <c r="G168"/>
      <c r="H168"/>
      <c r="J168" s="26"/>
      <c r="K168" s="26"/>
      <c r="L168" s="26"/>
      <c r="M168" s="26"/>
      <c r="O168" s="26"/>
      <c r="P168" s="26"/>
      <c r="Q168" s="26"/>
      <c r="R168" s="26"/>
    </row>
    <row r="169" spans="2:18" ht="16.5" x14ac:dyDescent="0.3">
      <c r="B169" s="343" t="s">
        <v>107</v>
      </c>
      <c r="C169" s="344" t="s">
        <v>1268</v>
      </c>
      <c r="D169" s="345" t="s">
        <v>1281</v>
      </c>
      <c r="F169"/>
      <c r="G169"/>
      <c r="H169"/>
      <c r="J169" s="26"/>
      <c r="K169" s="26"/>
      <c r="L169" s="26"/>
      <c r="M169" s="26"/>
      <c r="O169" s="26"/>
      <c r="P169" s="26"/>
      <c r="Q169" s="26"/>
      <c r="R169" s="26"/>
    </row>
    <row r="170" spans="2:18" ht="16.5" x14ac:dyDescent="0.3">
      <c r="B170" s="343" t="s">
        <v>107</v>
      </c>
      <c r="C170" s="344" t="s">
        <v>1268</v>
      </c>
      <c r="D170" s="345" t="s">
        <v>1282</v>
      </c>
      <c r="F170"/>
      <c r="G170"/>
      <c r="H170"/>
      <c r="J170" s="26"/>
      <c r="K170" s="26"/>
      <c r="L170" s="26"/>
      <c r="M170" s="26"/>
      <c r="O170" s="26"/>
      <c r="P170" s="26"/>
      <c r="Q170" s="26"/>
      <c r="R170" s="26"/>
    </row>
    <row r="171" spans="2:18" ht="16.5" x14ac:dyDescent="0.3">
      <c r="B171" s="343" t="s">
        <v>107</v>
      </c>
      <c r="C171" s="344" t="s">
        <v>413</v>
      </c>
      <c r="D171" s="345" t="s">
        <v>1253</v>
      </c>
      <c r="F171"/>
      <c r="G171"/>
      <c r="H171"/>
      <c r="J171" s="26"/>
      <c r="K171" s="26"/>
      <c r="L171" s="26"/>
      <c r="M171" s="26"/>
      <c r="O171" s="26"/>
      <c r="P171" s="26"/>
      <c r="Q171" s="26"/>
      <c r="R171" s="26"/>
    </row>
    <row r="172" spans="2:18" ht="16.5" x14ac:dyDescent="0.3">
      <c r="B172" s="343" t="s">
        <v>107</v>
      </c>
      <c r="C172" s="344" t="s">
        <v>1264</v>
      </c>
      <c r="D172" s="345" t="s">
        <v>1266</v>
      </c>
      <c r="F172"/>
      <c r="G172"/>
      <c r="H172"/>
      <c r="J172" s="26"/>
      <c r="K172" s="26"/>
      <c r="L172" s="26"/>
      <c r="M172" s="26"/>
      <c r="O172" s="26"/>
      <c r="P172" s="26"/>
      <c r="Q172" s="26"/>
      <c r="R172" s="26"/>
    </row>
    <row r="173" spans="2:18" ht="16.5" x14ac:dyDescent="0.3">
      <c r="B173" s="343" t="s">
        <v>107</v>
      </c>
      <c r="C173" s="344" t="s">
        <v>1264</v>
      </c>
      <c r="D173" s="345" t="s">
        <v>1267</v>
      </c>
      <c r="F173"/>
      <c r="G173"/>
      <c r="H173"/>
      <c r="J173" s="26"/>
      <c r="K173" s="26"/>
      <c r="L173" s="26"/>
      <c r="M173" s="26"/>
      <c r="O173" s="26"/>
      <c r="P173" s="26"/>
      <c r="Q173" s="26"/>
      <c r="R173" s="26"/>
    </row>
    <row r="174" spans="2:18" ht="16.5" x14ac:dyDescent="0.3">
      <c r="B174" s="343" t="s">
        <v>456</v>
      </c>
      <c r="C174" s="344" t="s">
        <v>395</v>
      </c>
      <c r="D174" s="345" t="s">
        <v>457</v>
      </c>
      <c r="F174"/>
      <c r="G174"/>
      <c r="H174"/>
      <c r="J174" s="26"/>
      <c r="K174" s="26"/>
      <c r="L174" s="26"/>
      <c r="M174" s="26"/>
      <c r="O174" s="26"/>
      <c r="P174" s="26"/>
      <c r="Q174" s="26"/>
      <c r="R174" s="26"/>
    </row>
    <row r="175" spans="2:18" ht="16.5" x14ac:dyDescent="0.3">
      <c r="B175" s="343" t="s">
        <v>456</v>
      </c>
      <c r="C175" s="344" t="s">
        <v>408</v>
      </c>
      <c r="D175" s="345" t="s">
        <v>458</v>
      </c>
      <c r="F175"/>
      <c r="G175"/>
      <c r="H175"/>
      <c r="J175" s="26"/>
      <c r="K175" s="26"/>
      <c r="L175" s="26"/>
      <c r="M175" s="26"/>
      <c r="O175" s="26"/>
      <c r="P175" s="26"/>
      <c r="Q175" s="26"/>
      <c r="R175" s="26"/>
    </row>
    <row r="176" spans="2:18" ht="16.5" x14ac:dyDescent="0.3">
      <c r="B176" s="343" t="s">
        <v>456</v>
      </c>
      <c r="C176" s="344" t="s">
        <v>408</v>
      </c>
      <c r="D176" s="345" t="s">
        <v>459</v>
      </c>
      <c r="F176"/>
      <c r="G176"/>
      <c r="H176"/>
      <c r="J176" s="26"/>
      <c r="K176" s="26"/>
      <c r="L176" s="26"/>
      <c r="M176" s="26"/>
      <c r="O176" s="26"/>
      <c r="P176" s="26"/>
      <c r="Q176" s="26"/>
      <c r="R176" s="26"/>
    </row>
    <row r="177" spans="2:18" ht="16.5" x14ac:dyDescent="0.3">
      <c r="B177" s="343" t="s">
        <v>456</v>
      </c>
      <c r="C177" s="344" t="s">
        <v>413</v>
      </c>
      <c r="D177" s="345" t="s">
        <v>373</v>
      </c>
      <c r="F177"/>
      <c r="G177"/>
      <c r="H177"/>
      <c r="J177" s="26"/>
      <c r="K177" s="26"/>
      <c r="L177" s="26"/>
      <c r="M177" s="26"/>
      <c r="O177" s="26"/>
      <c r="P177" s="26"/>
      <c r="Q177" s="26"/>
      <c r="R177" s="26"/>
    </row>
    <row r="178" spans="2:18" ht="16.5" x14ac:dyDescent="0.3">
      <c r="B178" s="343" t="s">
        <v>456</v>
      </c>
      <c r="C178" s="344" t="s">
        <v>413</v>
      </c>
      <c r="D178" s="345" t="s">
        <v>369</v>
      </c>
      <c r="F178"/>
      <c r="G178"/>
      <c r="H178"/>
      <c r="J178" s="26"/>
      <c r="K178" s="26"/>
      <c r="L178" s="26"/>
      <c r="M178" s="26"/>
      <c r="O178" s="26"/>
      <c r="P178" s="26"/>
      <c r="Q178" s="26"/>
      <c r="R178" s="26"/>
    </row>
    <row r="179" spans="2:18" ht="16.5" x14ac:dyDescent="0.3">
      <c r="B179" s="343" t="s">
        <v>456</v>
      </c>
      <c r="C179" s="344" t="s">
        <v>413</v>
      </c>
      <c r="D179" s="345" t="s">
        <v>460</v>
      </c>
      <c r="F179"/>
      <c r="G179"/>
      <c r="H179"/>
      <c r="J179" s="26"/>
      <c r="K179" s="26"/>
      <c r="L179" s="26"/>
      <c r="M179" s="26"/>
      <c r="O179" s="26"/>
      <c r="P179" s="26"/>
      <c r="Q179" s="26"/>
      <c r="R179" s="26"/>
    </row>
    <row r="180" spans="2:18" ht="16.5" x14ac:dyDescent="0.3">
      <c r="B180" s="343" t="s">
        <v>456</v>
      </c>
      <c r="C180" s="344" t="s">
        <v>413</v>
      </c>
      <c r="D180" s="345" t="s">
        <v>371</v>
      </c>
      <c r="F180"/>
      <c r="G180"/>
      <c r="H180"/>
      <c r="J180" s="26"/>
      <c r="K180" s="26"/>
      <c r="L180" s="26"/>
      <c r="M180" s="26"/>
      <c r="O180" s="26"/>
      <c r="P180" s="26"/>
      <c r="Q180" s="26"/>
      <c r="R180" s="26"/>
    </row>
    <row r="181" spans="2:18" ht="16.5" x14ac:dyDescent="0.3">
      <c r="B181" s="343" t="s">
        <v>456</v>
      </c>
      <c r="C181" s="344" t="s">
        <v>395</v>
      </c>
      <c r="D181" s="345" t="s">
        <v>461</v>
      </c>
      <c r="F181"/>
      <c r="G181"/>
      <c r="H181"/>
      <c r="J181" s="26"/>
      <c r="K181" s="26"/>
      <c r="L181" s="26"/>
      <c r="M181" s="26"/>
      <c r="O181" s="26"/>
      <c r="P181" s="26"/>
      <c r="Q181" s="26"/>
      <c r="R181" s="26"/>
    </row>
    <row r="182" spans="2:18" ht="16.5" x14ac:dyDescent="0.3">
      <c r="B182" s="343" t="s">
        <v>456</v>
      </c>
      <c r="C182" s="344" t="s">
        <v>408</v>
      </c>
      <c r="D182" s="345" t="s">
        <v>462</v>
      </c>
      <c r="F182"/>
      <c r="G182"/>
      <c r="H182"/>
      <c r="J182" s="26"/>
      <c r="K182" s="26"/>
      <c r="L182" s="26"/>
      <c r="M182" s="26"/>
      <c r="O182" s="26"/>
      <c r="P182" s="26"/>
      <c r="Q182" s="26"/>
      <c r="R182" s="26"/>
    </row>
    <row r="183" spans="2:18" ht="16.5" x14ac:dyDescent="0.3">
      <c r="B183" s="343" t="s">
        <v>456</v>
      </c>
      <c r="C183" s="344" t="s">
        <v>395</v>
      </c>
      <c r="D183" s="345" t="s">
        <v>463</v>
      </c>
      <c r="F183"/>
      <c r="G183"/>
      <c r="H183"/>
      <c r="J183" s="26"/>
      <c r="K183" s="26"/>
      <c r="L183" s="26"/>
      <c r="M183" s="26"/>
      <c r="O183" s="26"/>
      <c r="P183" s="26"/>
      <c r="Q183" s="26"/>
      <c r="R183" s="26"/>
    </row>
    <row r="184" spans="2:18" ht="16.5" x14ac:dyDescent="0.3">
      <c r="B184" s="343" t="s">
        <v>456</v>
      </c>
      <c r="C184" s="344" t="s">
        <v>395</v>
      </c>
      <c r="D184" s="345" t="s">
        <v>464</v>
      </c>
      <c r="F184"/>
      <c r="G184"/>
      <c r="H184"/>
      <c r="J184" s="26"/>
      <c r="K184" s="26"/>
      <c r="L184" s="26"/>
      <c r="M184" s="26"/>
      <c r="O184" s="26"/>
      <c r="P184" s="26"/>
      <c r="Q184" s="26"/>
      <c r="R184" s="26"/>
    </row>
    <row r="185" spans="2:18" ht="16.5" x14ac:dyDescent="0.3">
      <c r="B185" s="343" t="s">
        <v>456</v>
      </c>
      <c r="C185" s="344" t="s">
        <v>413</v>
      </c>
      <c r="D185" s="345" t="s">
        <v>372</v>
      </c>
      <c r="F185"/>
      <c r="G185"/>
      <c r="H185"/>
      <c r="J185" s="26"/>
      <c r="K185" s="26"/>
      <c r="L185" s="26"/>
      <c r="M185" s="26"/>
      <c r="O185" s="26"/>
      <c r="P185" s="26"/>
      <c r="Q185" s="26"/>
      <c r="R185" s="26"/>
    </row>
    <row r="186" spans="2:18" ht="16.5" x14ac:dyDescent="0.3">
      <c r="B186" s="343" t="s">
        <v>456</v>
      </c>
      <c r="C186" s="344" t="s">
        <v>413</v>
      </c>
      <c r="D186" s="345" t="s">
        <v>465</v>
      </c>
      <c r="F186"/>
      <c r="G186"/>
      <c r="H186"/>
      <c r="J186" s="26"/>
      <c r="K186" s="26"/>
      <c r="L186" s="26"/>
      <c r="M186" s="26"/>
      <c r="O186" s="26"/>
      <c r="P186" s="26"/>
      <c r="Q186" s="26"/>
      <c r="R186" s="26"/>
    </row>
    <row r="187" spans="2:18" ht="16.5" x14ac:dyDescent="0.3">
      <c r="B187" s="343" t="s">
        <v>456</v>
      </c>
      <c r="C187" s="344" t="s">
        <v>413</v>
      </c>
      <c r="D187" s="345" t="s">
        <v>466</v>
      </c>
      <c r="F187"/>
      <c r="G187"/>
      <c r="H187"/>
      <c r="J187" s="26"/>
      <c r="K187" s="26"/>
      <c r="L187" s="26"/>
      <c r="M187" s="26"/>
      <c r="O187" s="26"/>
      <c r="P187" s="26"/>
      <c r="Q187" s="26"/>
      <c r="R187" s="26"/>
    </row>
    <row r="188" spans="2:18" ht="16.5" x14ac:dyDescent="0.3">
      <c r="B188" s="343" t="s">
        <v>456</v>
      </c>
      <c r="C188" s="344" t="s">
        <v>395</v>
      </c>
      <c r="D188" s="345" t="s">
        <v>467</v>
      </c>
      <c r="F188"/>
      <c r="G188"/>
      <c r="H188"/>
      <c r="J188" s="26"/>
      <c r="K188" s="26"/>
      <c r="L188" s="26"/>
      <c r="M188" s="26"/>
      <c r="O188" s="26"/>
      <c r="P188" s="26"/>
      <c r="Q188" s="26"/>
      <c r="R188" s="26"/>
    </row>
    <row r="189" spans="2:18" ht="16.5" x14ac:dyDescent="0.3">
      <c r="B189" s="343" t="s">
        <v>456</v>
      </c>
      <c r="C189" s="344" t="s">
        <v>395</v>
      </c>
      <c r="D189" s="345" t="s">
        <v>468</v>
      </c>
      <c r="F189"/>
      <c r="G189"/>
      <c r="H189"/>
      <c r="J189" s="26"/>
      <c r="K189" s="26"/>
      <c r="L189" s="26"/>
      <c r="M189" s="26"/>
      <c r="O189" s="26"/>
      <c r="P189" s="26"/>
      <c r="Q189" s="26"/>
      <c r="R189" s="26"/>
    </row>
    <row r="190" spans="2:18" ht="16.5" x14ac:dyDescent="0.3">
      <c r="B190" s="343" t="s">
        <v>456</v>
      </c>
      <c r="C190" s="344" t="s">
        <v>413</v>
      </c>
      <c r="D190" s="345" t="s">
        <v>469</v>
      </c>
      <c r="F190"/>
      <c r="G190"/>
      <c r="H190"/>
      <c r="J190" s="26"/>
      <c r="K190" s="26"/>
      <c r="L190" s="26"/>
      <c r="M190" s="26"/>
      <c r="O190" s="26"/>
      <c r="P190" s="26"/>
      <c r="Q190" s="26"/>
      <c r="R190" s="26"/>
    </row>
    <row r="191" spans="2:18" ht="16.5" x14ac:dyDescent="0.3">
      <c r="B191" s="343" t="s">
        <v>456</v>
      </c>
      <c r="C191" s="344" t="s">
        <v>413</v>
      </c>
      <c r="D191" s="345" t="s">
        <v>470</v>
      </c>
      <c r="F191"/>
      <c r="G191"/>
      <c r="H191"/>
      <c r="J191" s="26"/>
      <c r="K191" s="26"/>
      <c r="L191" s="26"/>
      <c r="M191" s="26"/>
      <c r="O191" s="26"/>
      <c r="P191" s="26"/>
      <c r="Q191" s="26"/>
      <c r="R191" s="26"/>
    </row>
    <row r="192" spans="2:18" ht="16.5" x14ac:dyDescent="0.3">
      <c r="B192" s="343" t="s">
        <v>456</v>
      </c>
      <c r="C192" s="344" t="s">
        <v>408</v>
      </c>
      <c r="D192" s="345" t="s">
        <v>471</v>
      </c>
      <c r="F192"/>
      <c r="G192"/>
      <c r="H192"/>
      <c r="J192" s="26"/>
      <c r="K192" s="26"/>
      <c r="L192" s="26"/>
      <c r="M192" s="26"/>
      <c r="O192" s="26"/>
      <c r="P192" s="26"/>
      <c r="Q192" s="26"/>
      <c r="R192" s="26"/>
    </row>
    <row r="193" spans="2:18" ht="16.5" x14ac:dyDescent="0.3">
      <c r="B193" s="343" t="s">
        <v>456</v>
      </c>
      <c r="C193" s="344" t="s">
        <v>408</v>
      </c>
      <c r="D193" s="345" t="s">
        <v>367</v>
      </c>
      <c r="F193"/>
      <c r="G193"/>
      <c r="H193"/>
      <c r="J193" s="26"/>
      <c r="K193" s="26"/>
      <c r="L193" s="26"/>
      <c r="M193" s="26"/>
      <c r="O193" s="26"/>
      <c r="P193" s="26"/>
      <c r="Q193" s="26"/>
      <c r="R193" s="26"/>
    </row>
    <row r="194" spans="2:18" ht="16.5" x14ac:dyDescent="0.3">
      <c r="B194" s="343" t="s">
        <v>456</v>
      </c>
      <c r="C194" s="344" t="s">
        <v>408</v>
      </c>
      <c r="D194" s="345" t="s">
        <v>368</v>
      </c>
      <c r="F194"/>
      <c r="G194"/>
      <c r="H194"/>
      <c r="J194" s="26"/>
      <c r="K194" s="26"/>
      <c r="L194" s="26"/>
      <c r="M194" s="26"/>
      <c r="O194" s="26"/>
      <c r="P194" s="26"/>
      <c r="Q194" s="26"/>
      <c r="R194" s="26"/>
    </row>
    <row r="195" spans="2:18" ht="16.5" x14ac:dyDescent="0.3">
      <c r="B195" s="343" t="s">
        <v>456</v>
      </c>
      <c r="C195" s="344" t="s">
        <v>408</v>
      </c>
      <c r="D195" s="345" t="s">
        <v>1166</v>
      </c>
      <c r="F195"/>
      <c r="G195"/>
      <c r="H195"/>
      <c r="J195" s="26"/>
      <c r="K195" s="26"/>
      <c r="L195" s="26"/>
      <c r="M195" s="26"/>
      <c r="O195" s="26"/>
      <c r="P195" s="26"/>
      <c r="Q195" s="26"/>
      <c r="R195" s="26"/>
    </row>
    <row r="196" spans="2:18" ht="16.5" x14ac:dyDescent="0.3">
      <c r="B196" s="343" t="s">
        <v>456</v>
      </c>
      <c r="C196" s="344" t="s">
        <v>395</v>
      </c>
      <c r="D196" s="345" t="s">
        <v>472</v>
      </c>
      <c r="F196"/>
      <c r="G196"/>
      <c r="H196"/>
      <c r="J196" s="26"/>
      <c r="K196" s="26"/>
      <c r="L196" s="26"/>
      <c r="M196" s="26"/>
      <c r="O196" s="26"/>
      <c r="P196" s="26"/>
      <c r="Q196" s="26"/>
      <c r="R196" s="26"/>
    </row>
    <row r="197" spans="2:18" ht="16.5" x14ac:dyDescent="0.3">
      <c r="B197" s="343" t="s">
        <v>456</v>
      </c>
      <c r="C197" s="344" t="s">
        <v>395</v>
      </c>
      <c r="D197" s="345" t="s">
        <v>473</v>
      </c>
      <c r="F197"/>
      <c r="G197"/>
      <c r="H197"/>
      <c r="J197" s="26"/>
      <c r="K197" s="26"/>
      <c r="L197" s="26"/>
      <c r="M197" s="26"/>
      <c r="O197" s="26"/>
      <c r="P197" s="26"/>
      <c r="Q197" s="26"/>
      <c r="R197" s="26"/>
    </row>
    <row r="198" spans="2:18" ht="16.5" x14ac:dyDescent="0.3">
      <c r="B198" s="343" t="s">
        <v>456</v>
      </c>
      <c r="C198" s="344" t="s">
        <v>395</v>
      </c>
      <c r="D198" s="345" t="s">
        <v>474</v>
      </c>
      <c r="F198"/>
      <c r="G198"/>
      <c r="H198"/>
      <c r="J198" s="26"/>
      <c r="K198" s="26"/>
      <c r="L198" s="26"/>
      <c r="M198" s="26"/>
      <c r="O198" s="26"/>
      <c r="P198" s="26"/>
      <c r="Q198" s="26"/>
      <c r="R198" s="26"/>
    </row>
    <row r="199" spans="2:18" ht="16.5" x14ac:dyDescent="0.3">
      <c r="B199" s="343" t="s">
        <v>456</v>
      </c>
      <c r="C199" s="344" t="s">
        <v>395</v>
      </c>
      <c r="D199" s="345" t="s">
        <v>475</v>
      </c>
      <c r="F199"/>
      <c r="G199"/>
      <c r="H199"/>
      <c r="J199" s="26"/>
      <c r="K199" s="26"/>
      <c r="L199" s="26"/>
      <c r="M199" s="26"/>
      <c r="O199" s="26"/>
      <c r="P199" s="26"/>
      <c r="Q199" s="26"/>
      <c r="R199" s="26"/>
    </row>
    <row r="200" spans="2:18" ht="16.5" x14ac:dyDescent="0.3">
      <c r="B200" s="343" t="s">
        <v>456</v>
      </c>
      <c r="C200" s="344" t="s">
        <v>413</v>
      </c>
      <c r="D200" s="345" t="s">
        <v>476</v>
      </c>
      <c r="F200"/>
      <c r="G200"/>
      <c r="H200"/>
      <c r="J200" s="26"/>
      <c r="K200" s="26"/>
      <c r="L200" s="26"/>
      <c r="M200" s="26"/>
      <c r="O200" s="26"/>
      <c r="P200" s="26"/>
      <c r="Q200" s="26"/>
      <c r="R200" s="26"/>
    </row>
    <row r="201" spans="2:18" ht="16.5" x14ac:dyDescent="0.3">
      <c r="B201" s="343" t="s">
        <v>456</v>
      </c>
      <c r="C201" s="344" t="s">
        <v>395</v>
      </c>
      <c r="D201" s="345" t="s">
        <v>477</v>
      </c>
      <c r="F201"/>
      <c r="G201"/>
      <c r="H201"/>
      <c r="J201" s="26"/>
      <c r="K201" s="26"/>
      <c r="L201" s="26"/>
      <c r="M201" s="26"/>
      <c r="O201" s="26"/>
      <c r="P201" s="26"/>
      <c r="Q201" s="26"/>
      <c r="R201" s="26"/>
    </row>
    <row r="202" spans="2:18" ht="16.5" x14ac:dyDescent="0.3">
      <c r="B202" s="343" t="s">
        <v>456</v>
      </c>
      <c r="C202" s="344" t="s">
        <v>395</v>
      </c>
      <c r="D202" s="345" t="s">
        <v>478</v>
      </c>
      <c r="F202"/>
      <c r="G202"/>
      <c r="H202"/>
      <c r="J202" s="26"/>
      <c r="K202" s="26"/>
      <c r="L202" s="26"/>
      <c r="M202" s="26"/>
      <c r="O202" s="26"/>
      <c r="P202" s="26"/>
      <c r="Q202" s="26"/>
      <c r="R202" s="26"/>
    </row>
    <row r="203" spans="2:18" ht="16.5" x14ac:dyDescent="0.3">
      <c r="B203" s="343" t="s">
        <v>456</v>
      </c>
      <c r="C203" s="344" t="s">
        <v>413</v>
      </c>
      <c r="D203" s="345" t="s">
        <v>479</v>
      </c>
      <c r="F203"/>
      <c r="G203"/>
      <c r="H203"/>
      <c r="J203" s="26"/>
      <c r="K203" s="26"/>
      <c r="L203" s="26"/>
      <c r="M203" s="26"/>
      <c r="O203" s="26"/>
      <c r="P203" s="26"/>
      <c r="Q203" s="26"/>
      <c r="R203" s="26"/>
    </row>
    <row r="204" spans="2:18" ht="16.5" x14ac:dyDescent="0.3">
      <c r="B204" s="343" t="s">
        <v>456</v>
      </c>
      <c r="C204" s="344" t="s">
        <v>408</v>
      </c>
      <c r="D204" s="345" t="s">
        <v>370</v>
      </c>
      <c r="F204"/>
      <c r="G204"/>
      <c r="H204"/>
      <c r="J204" s="26"/>
      <c r="K204" s="26"/>
      <c r="L204" s="26"/>
      <c r="M204" s="26"/>
      <c r="O204" s="26"/>
      <c r="P204" s="26"/>
      <c r="Q204" s="26"/>
      <c r="R204" s="26"/>
    </row>
    <row r="205" spans="2:18" ht="16.5" x14ac:dyDescent="0.3">
      <c r="B205" s="343" t="s">
        <v>456</v>
      </c>
      <c r="C205" s="344" t="s">
        <v>408</v>
      </c>
      <c r="D205" s="345" t="s">
        <v>480</v>
      </c>
      <c r="F205"/>
      <c r="G205"/>
      <c r="H205"/>
      <c r="J205" s="26"/>
      <c r="K205" s="26"/>
      <c r="L205" s="26"/>
      <c r="M205" s="26"/>
      <c r="O205" s="26"/>
      <c r="P205" s="26"/>
      <c r="Q205" s="26"/>
      <c r="R205" s="26"/>
    </row>
    <row r="206" spans="2:18" ht="16.5" x14ac:dyDescent="0.3">
      <c r="B206" s="343" t="s">
        <v>456</v>
      </c>
      <c r="C206" s="344" t="s">
        <v>408</v>
      </c>
      <c r="D206" s="345" t="s">
        <v>1156</v>
      </c>
      <c r="F206"/>
      <c r="G206"/>
      <c r="H206"/>
      <c r="J206" s="26"/>
      <c r="K206" s="26"/>
      <c r="L206" s="26"/>
      <c r="M206" s="26"/>
      <c r="O206" s="26"/>
      <c r="P206" s="26"/>
      <c r="Q206" s="26"/>
      <c r="R206" s="26"/>
    </row>
    <row r="207" spans="2:18" ht="16.5" x14ac:dyDescent="0.3">
      <c r="B207" s="343" t="s">
        <v>456</v>
      </c>
      <c r="C207" s="344" t="s">
        <v>408</v>
      </c>
      <c r="D207" s="345" t="s">
        <v>1167</v>
      </c>
      <c r="F207"/>
      <c r="G207"/>
      <c r="H207"/>
      <c r="J207" s="26"/>
      <c r="K207" s="26"/>
      <c r="L207" s="26"/>
      <c r="M207" s="26"/>
      <c r="O207" s="26"/>
      <c r="P207" s="26"/>
      <c r="Q207" s="26"/>
      <c r="R207" s="26"/>
    </row>
    <row r="208" spans="2:18" ht="16.5" x14ac:dyDescent="0.3">
      <c r="B208" s="343" t="s">
        <v>456</v>
      </c>
      <c r="C208" s="344" t="s">
        <v>395</v>
      </c>
      <c r="D208" s="345" t="s">
        <v>481</v>
      </c>
      <c r="F208"/>
      <c r="G208"/>
      <c r="H208"/>
      <c r="J208" s="26"/>
      <c r="K208" s="26"/>
      <c r="L208" s="26"/>
      <c r="M208" s="26"/>
      <c r="O208" s="26"/>
      <c r="P208" s="26"/>
      <c r="Q208" s="26"/>
      <c r="R208" s="26"/>
    </row>
    <row r="209" spans="2:18" ht="16.5" x14ac:dyDescent="0.3">
      <c r="B209" s="343" t="s">
        <v>456</v>
      </c>
      <c r="C209" s="344" t="s">
        <v>413</v>
      </c>
      <c r="D209" s="345" t="s">
        <v>482</v>
      </c>
      <c r="F209"/>
      <c r="G209"/>
      <c r="H209"/>
      <c r="J209" s="26"/>
      <c r="K209" s="26"/>
      <c r="L209" s="26"/>
      <c r="M209" s="26"/>
      <c r="O209" s="26"/>
      <c r="P209" s="26"/>
      <c r="Q209" s="26"/>
      <c r="R209" s="26"/>
    </row>
    <row r="210" spans="2:18" ht="16.5" x14ac:dyDescent="0.3">
      <c r="B210" s="343" t="s">
        <v>456</v>
      </c>
      <c r="C210" s="344" t="s">
        <v>453</v>
      </c>
      <c r="D210" s="345" t="s">
        <v>483</v>
      </c>
      <c r="F210"/>
      <c r="G210"/>
      <c r="H210"/>
      <c r="J210" s="26"/>
      <c r="K210" s="26"/>
      <c r="L210" s="26"/>
      <c r="M210" s="26"/>
      <c r="O210" s="26"/>
      <c r="P210" s="26"/>
      <c r="Q210" s="26"/>
      <c r="R210" s="26"/>
    </row>
    <row r="211" spans="2:18" ht="16.5" x14ac:dyDescent="0.3">
      <c r="B211" s="343" t="s">
        <v>456</v>
      </c>
      <c r="C211" s="344" t="s">
        <v>453</v>
      </c>
      <c r="D211" s="345" t="s">
        <v>484</v>
      </c>
      <c r="F211"/>
      <c r="G211"/>
      <c r="H211"/>
      <c r="J211" s="26"/>
      <c r="K211" s="26"/>
      <c r="L211" s="26"/>
      <c r="M211" s="26"/>
      <c r="O211" s="26"/>
      <c r="P211" s="26"/>
      <c r="Q211" s="26"/>
      <c r="R211" s="26"/>
    </row>
    <row r="212" spans="2:18" ht="16.5" x14ac:dyDescent="0.3">
      <c r="B212" s="343" t="s">
        <v>456</v>
      </c>
      <c r="C212" s="344" t="s">
        <v>453</v>
      </c>
      <c r="D212" s="345" t="s">
        <v>485</v>
      </c>
      <c r="F212"/>
      <c r="G212"/>
      <c r="H212"/>
      <c r="J212" s="26"/>
      <c r="K212" s="26"/>
      <c r="L212" s="26"/>
      <c r="M212" s="26"/>
      <c r="O212" s="26"/>
      <c r="P212" s="26"/>
      <c r="Q212" s="26"/>
      <c r="R212" s="26"/>
    </row>
    <row r="213" spans="2:18" ht="16.5" x14ac:dyDescent="0.3">
      <c r="B213" s="343" t="s">
        <v>456</v>
      </c>
      <c r="C213" s="344" t="s">
        <v>413</v>
      </c>
      <c r="D213" s="345" t="s">
        <v>1183</v>
      </c>
      <c r="F213"/>
      <c r="G213"/>
      <c r="H213"/>
      <c r="J213" s="26"/>
      <c r="K213" s="26"/>
      <c r="L213" s="26"/>
      <c r="M213" s="26"/>
      <c r="O213" s="26"/>
      <c r="P213" s="26"/>
      <c r="Q213" s="26"/>
      <c r="R213" s="26"/>
    </row>
    <row r="214" spans="2:18" ht="16.5" x14ac:dyDescent="0.3">
      <c r="B214" s="343" t="s">
        <v>456</v>
      </c>
      <c r="C214" s="344" t="s">
        <v>408</v>
      </c>
      <c r="D214" s="345" t="s">
        <v>1303</v>
      </c>
      <c r="F214"/>
      <c r="G214"/>
      <c r="H214"/>
      <c r="J214" s="26"/>
      <c r="K214" s="26"/>
      <c r="L214" s="26"/>
      <c r="M214" s="26"/>
      <c r="O214" s="26"/>
      <c r="P214" s="26"/>
      <c r="Q214" s="26"/>
      <c r="R214" s="26"/>
    </row>
    <row r="215" spans="2:18" ht="16.5" x14ac:dyDescent="0.3">
      <c r="B215" s="343" t="s">
        <v>456</v>
      </c>
      <c r="C215" s="344" t="s">
        <v>408</v>
      </c>
      <c r="D215" s="345" t="s">
        <v>1304</v>
      </c>
      <c r="F215"/>
      <c r="G215"/>
      <c r="H215"/>
      <c r="J215" s="26"/>
      <c r="K215" s="26"/>
      <c r="L215" s="26"/>
      <c r="M215" s="26"/>
      <c r="O215" s="26"/>
      <c r="P215" s="26"/>
      <c r="Q215" s="26"/>
      <c r="R215" s="26"/>
    </row>
    <row r="216" spans="2:18" ht="16.5" x14ac:dyDescent="0.3">
      <c r="B216" s="343" t="s">
        <v>456</v>
      </c>
      <c r="C216" s="344" t="s">
        <v>408</v>
      </c>
      <c r="D216" s="345" t="s">
        <v>1305</v>
      </c>
      <c r="F216"/>
      <c r="G216"/>
      <c r="H216"/>
      <c r="J216" s="26"/>
      <c r="K216" s="26"/>
      <c r="L216" s="26"/>
      <c r="M216" s="26"/>
      <c r="O216" s="26"/>
      <c r="P216" s="26"/>
      <c r="Q216" s="26"/>
      <c r="R216" s="26"/>
    </row>
    <row r="217" spans="2:18" ht="16.5" x14ac:dyDescent="0.3">
      <c r="B217" s="343" t="s">
        <v>456</v>
      </c>
      <c r="C217" s="344" t="s">
        <v>408</v>
      </c>
      <c r="D217" s="345" t="s">
        <v>1306</v>
      </c>
      <c r="F217"/>
      <c r="G217"/>
      <c r="H217"/>
      <c r="J217" s="26"/>
      <c r="K217" s="26"/>
      <c r="L217" s="26"/>
      <c r="M217" s="26"/>
      <c r="O217" s="26"/>
      <c r="P217" s="26"/>
      <c r="Q217" s="26"/>
      <c r="R217" s="26"/>
    </row>
    <row r="218" spans="2:18" ht="16.5" x14ac:dyDescent="0.3">
      <c r="B218" s="343" t="s">
        <v>456</v>
      </c>
      <c r="C218" s="344" t="s">
        <v>1268</v>
      </c>
      <c r="D218" s="345" t="s">
        <v>1298</v>
      </c>
      <c r="F218"/>
      <c r="G218"/>
      <c r="H218"/>
      <c r="J218" s="26"/>
      <c r="K218" s="26"/>
      <c r="L218" s="26"/>
      <c r="M218" s="26"/>
      <c r="O218" s="26"/>
      <c r="P218" s="26"/>
      <c r="Q218" s="26"/>
      <c r="R218" s="26"/>
    </row>
    <row r="219" spans="2:18" ht="16.5" x14ac:dyDescent="0.3">
      <c r="B219" s="343" t="s">
        <v>456</v>
      </c>
      <c r="C219" s="344" t="s">
        <v>1268</v>
      </c>
      <c r="D219" s="345" t="s">
        <v>1299</v>
      </c>
      <c r="F219"/>
      <c r="G219"/>
      <c r="H219"/>
      <c r="J219" s="26"/>
      <c r="K219" s="26"/>
      <c r="L219" s="26"/>
      <c r="M219" s="26"/>
      <c r="O219" s="26"/>
      <c r="P219" s="26"/>
      <c r="Q219" s="26"/>
      <c r="R219" s="26"/>
    </row>
    <row r="220" spans="2:18" ht="16.5" x14ac:dyDescent="0.3">
      <c r="B220" s="343" t="s">
        <v>456</v>
      </c>
      <c r="C220" s="344" t="s">
        <v>1268</v>
      </c>
      <c r="D220" s="345" t="s">
        <v>1300</v>
      </c>
      <c r="F220"/>
      <c r="G220"/>
      <c r="H220"/>
      <c r="J220" s="26"/>
      <c r="K220" s="26"/>
      <c r="L220" s="26"/>
      <c r="M220" s="26"/>
      <c r="O220" s="26"/>
      <c r="P220" s="26"/>
      <c r="Q220" s="26"/>
      <c r="R220" s="26"/>
    </row>
    <row r="221" spans="2:18" ht="16.5" x14ac:dyDescent="0.3">
      <c r="B221" s="343" t="s">
        <v>456</v>
      </c>
      <c r="C221" s="344" t="s">
        <v>413</v>
      </c>
      <c r="D221" s="345" t="s">
        <v>1295</v>
      </c>
      <c r="F221"/>
      <c r="G221"/>
      <c r="H221"/>
      <c r="J221" s="26"/>
      <c r="K221" s="26"/>
      <c r="L221" s="26"/>
      <c r="M221" s="26"/>
      <c r="O221" s="26"/>
      <c r="P221" s="26"/>
      <c r="Q221" s="26"/>
      <c r="R221" s="26"/>
    </row>
    <row r="222" spans="2:18" ht="16.5" x14ac:dyDescent="0.3">
      <c r="B222" s="343" t="s">
        <v>456</v>
      </c>
      <c r="C222" s="344" t="s">
        <v>1264</v>
      </c>
      <c r="D222" s="345" t="s">
        <v>1297</v>
      </c>
      <c r="F222"/>
      <c r="G222"/>
      <c r="H222"/>
      <c r="J222" s="26"/>
      <c r="K222" s="26"/>
      <c r="L222" s="26"/>
      <c r="M222" s="26"/>
      <c r="O222" s="26"/>
      <c r="P222" s="26"/>
      <c r="Q222" s="26"/>
      <c r="R222" s="26"/>
    </row>
    <row r="223" spans="2:18" ht="16.5" x14ac:dyDescent="0.3">
      <c r="B223" s="343" t="s">
        <v>456</v>
      </c>
      <c r="C223" s="344" t="s">
        <v>1268</v>
      </c>
      <c r="D223" s="345" t="s">
        <v>1301</v>
      </c>
      <c r="F223"/>
      <c r="G223"/>
      <c r="H223"/>
      <c r="J223" s="26"/>
      <c r="K223" s="26"/>
      <c r="L223" s="26"/>
      <c r="M223" s="26"/>
      <c r="O223" s="26"/>
      <c r="P223" s="26"/>
      <c r="Q223" s="26"/>
      <c r="R223" s="26"/>
    </row>
    <row r="224" spans="2:18" ht="16.5" x14ac:dyDescent="0.3">
      <c r="B224" s="343" t="s">
        <v>456</v>
      </c>
      <c r="C224" s="344" t="s">
        <v>408</v>
      </c>
      <c r="D224" s="345" t="s">
        <v>1307</v>
      </c>
      <c r="F224"/>
      <c r="G224"/>
      <c r="H224"/>
      <c r="J224" s="26"/>
      <c r="K224" s="26"/>
      <c r="L224" s="26"/>
      <c r="M224" s="26"/>
      <c r="O224" s="26"/>
      <c r="P224" s="26"/>
      <c r="Q224" s="26"/>
      <c r="R224" s="26"/>
    </row>
    <row r="225" spans="2:18" ht="16.5" x14ac:dyDescent="0.3">
      <c r="B225" s="343" t="s">
        <v>456</v>
      </c>
      <c r="C225" s="344" t="s">
        <v>408</v>
      </c>
      <c r="D225" s="345" t="s">
        <v>1308</v>
      </c>
      <c r="F225"/>
      <c r="G225"/>
      <c r="H225"/>
      <c r="J225" s="26"/>
      <c r="K225" s="26"/>
      <c r="L225" s="26"/>
      <c r="M225" s="26"/>
      <c r="O225" s="26"/>
      <c r="P225" s="26"/>
      <c r="Q225" s="26"/>
      <c r="R225" s="26"/>
    </row>
    <row r="226" spans="2:18" ht="16.5" x14ac:dyDescent="0.3">
      <c r="B226" s="343" t="s">
        <v>456</v>
      </c>
      <c r="C226" s="344" t="s">
        <v>408</v>
      </c>
      <c r="D226" s="345" t="s">
        <v>1309</v>
      </c>
      <c r="F226"/>
      <c r="G226"/>
      <c r="H226"/>
      <c r="J226" s="26"/>
      <c r="K226" s="26"/>
      <c r="L226" s="26"/>
      <c r="M226" s="26"/>
      <c r="O226" s="26"/>
      <c r="P226" s="26"/>
      <c r="Q226" s="26"/>
      <c r="R226" s="26"/>
    </row>
    <row r="227" spans="2:18" ht="16.5" x14ac:dyDescent="0.3">
      <c r="B227" s="343" t="s">
        <v>456</v>
      </c>
      <c r="C227" s="344" t="s">
        <v>1268</v>
      </c>
      <c r="D227" s="345" t="s">
        <v>1302</v>
      </c>
      <c r="F227"/>
      <c r="G227"/>
      <c r="H227"/>
      <c r="J227" s="26"/>
      <c r="K227" s="26"/>
      <c r="L227" s="26"/>
      <c r="M227" s="26"/>
      <c r="O227" s="26"/>
      <c r="P227" s="26"/>
      <c r="Q227" s="26"/>
      <c r="R227" s="26"/>
    </row>
    <row r="228" spans="2:18" ht="16.5" x14ac:dyDescent="0.3">
      <c r="B228" s="343" t="s">
        <v>456</v>
      </c>
      <c r="C228" s="344" t="s">
        <v>413</v>
      </c>
      <c r="D228" s="345" t="s">
        <v>1296</v>
      </c>
      <c r="F228"/>
      <c r="G228"/>
      <c r="H228"/>
      <c r="J228" s="26"/>
      <c r="K228" s="26"/>
      <c r="L228" s="26"/>
      <c r="M228" s="26"/>
      <c r="O228" s="26"/>
      <c r="P228" s="26"/>
      <c r="Q228" s="26"/>
      <c r="R228" s="26"/>
    </row>
    <row r="229" spans="2:18" ht="16.5" x14ac:dyDescent="0.3">
      <c r="B229" s="343" t="s">
        <v>456</v>
      </c>
      <c r="C229" s="344" t="s">
        <v>1264</v>
      </c>
      <c r="D229" s="345" t="s">
        <v>1352</v>
      </c>
      <c r="F229"/>
      <c r="G229"/>
      <c r="H229"/>
      <c r="J229" s="26"/>
      <c r="K229" s="26"/>
      <c r="L229" s="26"/>
      <c r="M229" s="26"/>
      <c r="O229" s="26"/>
      <c r="P229" s="26"/>
      <c r="Q229" s="26"/>
      <c r="R229" s="26"/>
    </row>
    <row r="230" spans="2:18" ht="16.5" x14ac:dyDescent="0.3">
      <c r="B230" s="343" t="s">
        <v>456</v>
      </c>
      <c r="C230" s="344" t="s">
        <v>1264</v>
      </c>
      <c r="D230" s="345" t="s">
        <v>1353</v>
      </c>
      <c r="F230"/>
      <c r="G230"/>
      <c r="H230"/>
      <c r="J230" s="26"/>
      <c r="K230" s="26"/>
      <c r="L230" s="26"/>
      <c r="M230" s="26"/>
      <c r="O230" s="26"/>
      <c r="P230" s="26"/>
      <c r="Q230" s="26"/>
      <c r="R230" s="26"/>
    </row>
    <row r="231" spans="2:18" ht="16.5" x14ac:dyDescent="0.3">
      <c r="B231" s="343" t="s">
        <v>456</v>
      </c>
      <c r="C231" s="344" t="s">
        <v>1264</v>
      </c>
      <c r="D231" s="345" t="s">
        <v>1354</v>
      </c>
      <c r="F231"/>
      <c r="G231"/>
      <c r="H231"/>
      <c r="J231" s="26"/>
      <c r="K231" s="26"/>
      <c r="L231" s="26"/>
      <c r="M231" s="26"/>
      <c r="O231" s="26"/>
      <c r="P231" s="26"/>
      <c r="Q231" s="26"/>
      <c r="R231" s="26"/>
    </row>
    <row r="232" spans="2:18" ht="16.5" x14ac:dyDescent="0.3">
      <c r="B232" s="343" t="s">
        <v>456</v>
      </c>
      <c r="C232" s="344" t="s">
        <v>1264</v>
      </c>
      <c r="D232" s="345" t="s">
        <v>1355</v>
      </c>
      <c r="F232"/>
      <c r="G232"/>
      <c r="H232"/>
      <c r="J232" s="26"/>
      <c r="K232" s="26"/>
      <c r="L232" s="26"/>
      <c r="M232" s="26"/>
      <c r="O232" s="26"/>
      <c r="P232" s="26"/>
      <c r="Q232" s="26"/>
      <c r="R232" s="26"/>
    </row>
    <row r="233" spans="2:18" ht="16.5" x14ac:dyDescent="0.3">
      <c r="B233" s="343" t="s">
        <v>486</v>
      </c>
      <c r="C233" s="344" t="s">
        <v>1199</v>
      </c>
      <c r="D233" s="345" t="s">
        <v>378</v>
      </c>
      <c r="F233"/>
      <c r="G233"/>
      <c r="H233"/>
      <c r="J233" s="26"/>
      <c r="K233" s="26"/>
      <c r="L233" s="26"/>
      <c r="M233" s="26"/>
      <c r="O233" s="26"/>
      <c r="P233" s="26"/>
      <c r="Q233" s="26"/>
      <c r="R233" s="26"/>
    </row>
    <row r="234" spans="2:18" ht="16.5" x14ac:dyDescent="0.3">
      <c r="B234" s="343" t="s">
        <v>486</v>
      </c>
      <c r="C234" s="344" t="s">
        <v>1199</v>
      </c>
      <c r="D234" s="345" t="s">
        <v>1069</v>
      </c>
      <c r="F234"/>
      <c r="G234"/>
      <c r="H234"/>
      <c r="J234" s="26"/>
      <c r="K234" s="26"/>
      <c r="L234" s="26"/>
      <c r="M234" s="26"/>
      <c r="O234" s="26"/>
      <c r="P234" s="26"/>
      <c r="Q234" s="26"/>
      <c r="R234" s="26"/>
    </row>
    <row r="235" spans="2:18" ht="16.5" x14ac:dyDescent="0.3">
      <c r="B235" s="343" t="s">
        <v>486</v>
      </c>
      <c r="C235" s="344" t="s">
        <v>1199</v>
      </c>
      <c r="D235" s="345" t="s">
        <v>490</v>
      </c>
      <c r="F235"/>
      <c r="G235"/>
      <c r="H235"/>
      <c r="J235" s="26"/>
      <c r="K235" s="26"/>
      <c r="L235" s="26"/>
      <c r="M235" s="26"/>
      <c r="O235" s="26"/>
      <c r="P235" s="26"/>
      <c r="Q235" s="26"/>
      <c r="R235" s="26"/>
    </row>
    <row r="236" spans="2:18" ht="16.5" x14ac:dyDescent="0.3">
      <c r="B236" s="343" t="s">
        <v>486</v>
      </c>
      <c r="C236" s="344" t="s">
        <v>1200</v>
      </c>
      <c r="D236" s="345" t="s">
        <v>493</v>
      </c>
      <c r="F236"/>
      <c r="G236"/>
      <c r="H236"/>
      <c r="J236" s="26"/>
      <c r="K236" s="26"/>
      <c r="L236" s="26"/>
      <c r="M236" s="26"/>
      <c r="O236" s="26"/>
      <c r="P236" s="26"/>
      <c r="Q236" s="26"/>
      <c r="R236" s="26"/>
    </row>
    <row r="237" spans="2:18" ht="16.5" x14ac:dyDescent="0.3">
      <c r="B237" s="343" t="s">
        <v>486</v>
      </c>
      <c r="C237" s="344" t="s">
        <v>1200</v>
      </c>
      <c r="D237" s="345" t="s">
        <v>494</v>
      </c>
      <c r="F237"/>
      <c r="G237"/>
      <c r="H237"/>
      <c r="J237" s="26"/>
      <c r="K237" s="26"/>
      <c r="L237" s="26"/>
      <c r="M237" s="26"/>
      <c r="O237" s="26"/>
      <c r="P237" s="26"/>
      <c r="Q237" s="26"/>
      <c r="R237" s="26"/>
    </row>
    <row r="238" spans="2:18" ht="16.5" x14ac:dyDescent="0.3">
      <c r="B238" s="343" t="s">
        <v>486</v>
      </c>
      <c r="C238" s="344" t="s">
        <v>1200</v>
      </c>
      <c r="D238" s="345" t="s">
        <v>495</v>
      </c>
      <c r="F238"/>
      <c r="G238"/>
      <c r="H238"/>
      <c r="J238" s="26"/>
      <c r="K238" s="26"/>
      <c r="L238" s="26"/>
      <c r="M238" s="26"/>
      <c r="O238" s="26"/>
      <c r="P238" s="26"/>
      <c r="Q238" s="26"/>
      <c r="R238" s="26"/>
    </row>
    <row r="239" spans="2:18" ht="16.5" x14ac:dyDescent="0.3">
      <c r="B239" s="343" t="s">
        <v>486</v>
      </c>
      <c r="C239" s="344" t="s">
        <v>1200</v>
      </c>
      <c r="D239" s="345" t="s">
        <v>1361</v>
      </c>
      <c r="F239"/>
      <c r="G239"/>
      <c r="H239"/>
      <c r="J239" s="26"/>
      <c r="K239" s="26"/>
      <c r="L239" s="26"/>
      <c r="M239" s="26"/>
      <c r="O239" s="26"/>
      <c r="P239" s="26"/>
      <c r="Q239" s="26"/>
      <c r="R239" s="26"/>
    </row>
    <row r="240" spans="2:18" ht="16.5" x14ac:dyDescent="0.3">
      <c r="B240" s="343" t="s">
        <v>486</v>
      </c>
      <c r="C240" s="344" t="s">
        <v>1200</v>
      </c>
      <c r="D240" s="345" t="s">
        <v>1362</v>
      </c>
      <c r="F240"/>
      <c r="G240"/>
      <c r="H240"/>
      <c r="J240" s="26"/>
      <c r="K240" s="26"/>
      <c r="L240" s="26"/>
      <c r="M240" s="26"/>
      <c r="O240" s="26"/>
      <c r="P240" s="26"/>
      <c r="Q240" s="26"/>
      <c r="R240" s="26"/>
    </row>
    <row r="241" spans="2:18" ht="16.5" x14ac:dyDescent="0.3">
      <c r="B241" s="343" t="s">
        <v>486</v>
      </c>
      <c r="C241" s="344" t="s">
        <v>1200</v>
      </c>
      <c r="D241" s="345" t="s">
        <v>1370</v>
      </c>
      <c r="F241"/>
      <c r="G241"/>
      <c r="H241"/>
      <c r="J241" s="26"/>
      <c r="K241" s="26"/>
      <c r="L241" s="26"/>
      <c r="M241" s="26"/>
      <c r="O241" s="26"/>
      <c r="P241" s="26"/>
      <c r="Q241" s="26"/>
      <c r="R241" s="26"/>
    </row>
    <row r="242" spans="2:18" ht="16.5" x14ac:dyDescent="0.3">
      <c r="B242" s="343" t="s">
        <v>486</v>
      </c>
      <c r="C242" s="344" t="s">
        <v>1200</v>
      </c>
      <c r="D242" s="345" t="s">
        <v>1371</v>
      </c>
      <c r="F242"/>
      <c r="G242"/>
      <c r="H242"/>
      <c r="J242" s="26"/>
      <c r="K242" s="26"/>
      <c r="L242" s="26"/>
      <c r="M242" s="26"/>
      <c r="O242" s="26"/>
      <c r="P242" s="26"/>
      <c r="Q242" s="26"/>
      <c r="R242" s="26"/>
    </row>
    <row r="243" spans="2:18" ht="16.5" x14ac:dyDescent="0.3">
      <c r="B243" s="343" t="s">
        <v>496</v>
      </c>
      <c r="C243" s="344" t="s">
        <v>1310</v>
      </c>
      <c r="D243" s="345" t="s">
        <v>1311</v>
      </c>
      <c r="F243"/>
      <c r="G243"/>
      <c r="H243"/>
      <c r="J243" s="26"/>
      <c r="K243" s="26"/>
      <c r="L243" s="26"/>
      <c r="M243" s="26"/>
      <c r="O243" s="26"/>
      <c r="P243" s="26"/>
      <c r="Q243" s="26"/>
      <c r="R243" s="26"/>
    </row>
    <row r="244" spans="2:18" ht="16.5" x14ac:dyDescent="0.3">
      <c r="B244" s="343" t="s">
        <v>496</v>
      </c>
      <c r="C244" s="344" t="s">
        <v>1310</v>
      </c>
      <c r="D244" s="345" t="s">
        <v>1312</v>
      </c>
      <c r="F244"/>
      <c r="G244"/>
      <c r="H244"/>
      <c r="J244" s="26"/>
      <c r="K244" s="26"/>
      <c r="L244" s="26"/>
      <c r="M244" s="26"/>
      <c r="O244" s="26"/>
      <c r="P244" s="26"/>
      <c r="Q244" s="26"/>
      <c r="R244" s="26"/>
    </row>
    <row r="245" spans="2:18" ht="16.5" x14ac:dyDescent="0.3">
      <c r="B245" s="343" t="s">
        <v>496</v>
      </c>
      <c r="C245" s="344" t="s">
        <v>1310</v>
      </c>
      <c r="D245" s="345" t="s">
        <v>1313</v>
      </c>
      <c r="F245"/>
      <c r="G245"/>
      <c r="H245"/>
      <c r="J245" s="26"/>
      <c r="K245" s="26"/>
      <c r="L245" s="26"/>
      <c r="M245" s="26"/>
      <c r="O245" s="26"/>
      <c r="P245" s="26"/>
      <c r="Q245" s="26"/>
      <c r="R245" s="26"/>
    </row>
    <row r="246" spans="2:18" ht="16.5" x14ac:dyDescent="0.3">
      <c r="B246" s="343" t="s">
        <v>496</v>
      </c>
      <c r="C246" s="344" t="s">
        <v>1310</v>
      </c>
      <c r="D246" s="345" t="s">
        <v>1314</v>
      </c>
      <c r="F246"/>
      <c r="G246"/>
      <c r="H246"/>
      <c r="J246" s="26"/>
      <c r="K246" s="26"/>
      <c r="L246" s="26"/>
      <c r="M246" s="26"/>
      <c r="O246" s="26"/>
      <c r="P246" s="26"/>
      <c r="Q246" s="26"/>
      <c r="R246" s="26"/>
    </row>
    <row r="247" spans="2:18" ht="16.5" x14ac:dyDescent="0.3">
      <c r="B247" s="343" t="s">
        <v>496</v>
      </c>
      <c r="C247" s="344" t="s">
        <v>497</v>
      </c>
      <c r="D247" s="345" t="s">
        <v>143</v>
      </c>
      <c r="F247"/>
      <c r="G247"/>
      <c r="H247"/>
      <c r="J247" s="26"/>
      <c r="K247" s="26"/>
      <c r="L247" s="26"/>
      <c r="M247" s="26"/>
      <c r="O247" s="26"/>
      <c r="P247" s="26"/>
      <c r="Q247" s="26"/>
      <c r="R247" s="26"/>
    </row>
    <row r="248" spans="2:18" ht="16.5" x14ac:dyDescent="0.3">
      <c r="B248" s="343" t="s">
        <v>496</v>
      </c>
      <c r="C248" s="344" t="s">
        <v>497</v>
      </c>
      <c r="D248" s="345" t="s">
        <v>102</v>
      </c>
      <c r="F248"/>
      <c r="G248"/>
      <c r="H248"/>
      <c r="J248" s="26"/>
      <c r="K248" s="26"/>
      <c r="L248" s="26"/>
      <c r="M248" s="26"/>
      <c r="O248" s="26"/>
      <c r="P248" s="26"/>
      <c r="Q248" s="26"/>
      <c r="R248" s="26"/>
    </row>
    <row r="249" spans="2:18" ht="16.5" x14ac:dyDescent="0.3">
      <c r="B249" s="343" t="s">
        <v>496</v>
      </c>
      <c r="C249" s="344" t="s">
        <v>497</v>
      </c>
      <c r="D249" s="345" t="s">
        <v>498</v>
      </c>
      <c r="F249"/>
      <c r="G249"/>
      <c r="H249"/>
      <c r="J249" s="26"/>
      <c r="K249" s="26"/>
      <c r="L249" s="26"/>
      <c r="M249" s="26"/>
      <c r="O249" s="26"/>
      <c r="P249" s="26"/>
      <c r="Q249" s="26"/>
      <c r="R249" s="26"/>
    </row>
    <row r="250" spans="2:18" ht="16.5" x14ac:dyDescent="0.3">
      <c r="B250" s="343" t="s">
        <v>496</v>
      </c>
      <c r="C250" s="344" t="s">
        <v>497</v>
      </c>
      <c r="D250" s="345" t="s">
        <v>499</v>
      </c>
      <c r="F250"/>
      <c r="G250"/>
      <c r="H250"/>
      <c r="J250" s="26"/>
      <c r="K250" s="26"/>
      <c r="L250" s="26"/>
      <c r="M250" s="26"/>
      <c r="O250" s="26"/>
      <c r="P250" s="26"/>
      <c r="Q250" s="26"/>
      <c r="R250" s="26"/>
    </row>
    <row r="251" spans="2:18" ht="16.5" x14ac:dyDescent="0.3">
      <c r="B251" s="343" t="s">
        <v>496</v>
      </c>
      <c r="C251" s="344" t="s">
        <v>497</v>
      </c>
      <c r="D251" s="345" t="s">
        <v>141</v>
      </c>
      <c r="F251"/>
      <c r="G251"/>
      <c r="H251"/>
      <c r="J251" s="26"/>
      <c r="K251" s="26"/>
      <c r="L251" s="26"/>
      <c r="M251" s="26"/>
      <c r="O251" s="26"/>
      <c r="P251" s="26"/>
      <c r="Q251" s="26"/>
      <c r="R251" s="26"/>
    </row>
    <row r="252" spans="2:18" ht="16.5" x14ac:dyDescent="0.3">
      <c r="B252" s="343" t="s">
        <v>496</v>
      </c>
      <c r="C252" s="344" t="s">
        <v>497</v>
      </c>
      <c r="D252" s="345" t="s">
        <v>500</v>
      </c>
      <c r="F252"/>
      <c r="G252"/>
      <c r="H252"/>
      <c r="J252" s="26"/>
      <c r="K252" s="26"/>
      <c r="L252" s="26"/>
      <c r="M252" s="26"/>
      <c r="O252" s="26"/>
      <c r="P252" s="26"/>
      <c r="Q252" s="26"/>
      <c r="R252" s="26"/>
    </row>
    <row r="253" spans="2:18" ht="16.5" x14ac:dyDescent="0.3">
      <c r="B253" s="343" t="s">
        <v>496</v>
      </c>
      <c r="C253" s="344" t="s">
        <v>501</v>
      </c>
      <c r="D253" s="345" t="s">
        <v>157</v>
      </c>
      <c r="F253"/>
      <c r="G253"/>
      <c r="H253"/>
      <c r="J253" s="26"/>
      <c r="K253" s="26"/>
      <c r="L253" s="26"/>
      <c r="M253" s="26"/>
      <c r="O253" s="26"/>
      <c r="P253" s="26"/>
      <c r="Q253" s="26"/>
      <c r="R253" s="26"/>
    </row>
    <row r="254" spans="2:18" ht="16.5" x14ac:dyDescent="0.3">
      <c r="B254" s="343" t="s">
        <v>496</v>
      </c>
      <c r="C254" s="344" t="s">
        <v>501</v>
      </c>
      <c r="D254" s="345" t="s">
        <v>158</v>
      </c>
      <c r="F254"/>
      <c r="G254"/>
      <c r="H254"/>
      <c r="J254" s="26"/>
      <c r="K254" s="26"/>
      <c r="L254" s="26"/>
      <c r="M254" s="26"/>
      <c r="O254" s="26"/>
      <c r="P254" s="26"/>
      <c r="Q254" s="26"/>
      <c r="R254" s="26"/>
    </row>
    <row r="255" spans="2:18" ht="16.5" x14ac:dyDescent="0.3">
      <c r="B255" s="343" t="s">
        <v>496</v>
      </c>
      <c r="C255" s="344" t="s">
        <v>501</v>
      </c>
      <c r="D255" s="345" t="s">
        <v>159</v>
      </c>
      <c r="F255"/>
      <c r="G255"/>
      <c r="H255"/>
      <c r="J255" s="26"/>
      <c r="K255" s="26"/>
      <c r="L255" s="26"/>
      <c r="M255" s="26"/>
      <c r="O255" s="26"/>
      <c r="P255" s="26"/>
      <c r="Q255" s="26"/>
      <c r="R255" s="26"/>
    </row>
    <row r="256" spans="2:18" ht="16.5" x14ac:dyDescent="0.3">
      <c r="B256" s="343" t="s">
        <v>496</v>
      </c>
      <c r="C256" s="344" t="s">
        <v>501</v>
      </c>
      <c r="D256" s="345" t="s">
        <v>381</v>
      </c>
      <c r="F256"/>
      <c r="G256"/>
      <c r="H256"/>
      <c r="J256" s="26"/>
      <c r="K256" s="26"/>
      <c r="L256" s="26"/>
      <c r="M256" s="26"/>
      <c r="O256" s="26"/>
      <c r="P256" s="26"/>
      <c r="Q256" s="26"/>
      <c r="R256" s="26"/>
    </row>
    <row r="257" spans="2:18" ht="16.5" x14ac:dyDescent="0.3">
      <c r="B257" s="343" t="s">
        <v>6</v>
      </c>
      <c r="C257" s="344" t="s">
        <v>503</v>
      </c>
      <c r="D257" s="345" t="s">
        <v>504</v>
      </c>
      <c r="F257"/>
      <c r="G257"/>
      <c r="H257"/>
      <c r="J257" s="26"/>
      <c r="K257" s="26"/>
      <c r="L257" s="26"/>
      <c r="M257" s="26"/>
      <c r="O257" s="26"/>
      <c r="P257" s="26"/>
      <c r="Q257" s="26"/>
      <c r="R257" s="26"/>
    </row>
    <row r="258" spans="2:18" ht="16.5" x14ac:dyDescent="0.3">
      <c r="B258" s="343" t="s">
        <v>6</v>
      </c>
      <c r="C258" s="344" t="s">
        <v>503</v>
      </c>
      <c r="D258" s="345" t="s">
        <v>505</v>
      </c>
      <c r="F258"/>
      <c r="G258"/>
      <c r="H258"/>
      <c r="J258" s="26"/>
      <c r="K258" s="26"/>
      <c r="L258" s="26"/>
      <c r="M258" s="26"/>
      <c r="O258" s="26"/>
      <c r="P258" s="26"/>
      <c r="Q258" s="26"/>
      <c r="R258" s="26"/>
    </row>
    <row r="259" spans="2:18" ht="16.5" x14ac:dyDescent="0.3">
      <c r="B259" s="343" t="s">
        <v>6</v>
      </c>
      <c r="C259" s="344" t="s">
        <v>502</v>
      </c>
      <c r="D259" s="345" t="s">
        <v>506</v>
      </c>
      <c r="F259"/>
      <c r="G259"/>
      <c r="H259"/>
      <c r="J259" s="26"/>
      <c r="K259" s="26"/>
      <c r="L259" s="26"/>
      <c r="M259" s="26"/>
      <c r="O259" s="26"/>
      <c r="P259" s="26"/>
      <c r="Q259" s="26"/>
      <c r="R259" s="26"/>
    </row>
    <row r="260" spans="2:18" ht="16.5" x14ac:dyDescent="0.3">
      <c r="B260" s="343" t="s">
        <v>6</v>
      </c>
      <c r="C260" s="344" t="s">
        <v>507</v>
      </c>
      <c r="D260" s="345" t="s">
        <v>292</v>
      </c>
      <c r="F260"/>
      <c r="G260"/>
      <c r="H260"/>
      <c r="J260" s="26"/>
      <c r="K260" s="26"/>
      <c r="L260" s="26"/>
      <c r="M260" s="26"/>
      <c r="O260" s="26"/>
      <c r="P260" s="26"/>
      <c r="Q260" s="26"/>
      <c r="R260" s="26"/>
    </row>
    <row r="261" spans="2:18" ht="16.5" x14ac:dyDescent="0.3">
      <c r="B261" s="343" t="s">
        <v>6</v>
      </c>
      <c r="C261" s="344" t="s">
        <v>502</v>
      </c>
      <c r="D261" s="345" t="s">
        <v>508</v>
      </c>
      <c r="F261"/>
      <c r="G261"/>
      <c r="H261"/>
      <c r="J261" s="26"/>
      <c r="K261" s="26"/>
      <c r="L261" s="26"/>
      <c r="M261" s="26"/>
      <c r="O261" s="26"/>
      <c r="P261" s="26"/>
      <c r="Q261" s="26"/>
      <c r="R261" s="26"/>
    </row>
    <row r="262" spans="2:18" ht="16.5" x14ac:dyDescent="0.3">
      <c r="B262" s="343" t="s">
        <v>6</v>
      </c>
      <c r="C262" s="344" t="s">
        <v>502</v>
      </c>
      <c r="D262" s="345" t="s">
        <v>242</v>
      </c>
      <c r="F262"/>
      <c r="G262"/>
      <c r="H262"/>
      <c r="J262" s="26"/>
      <c r="K262" s="26"/>
      <c r="L262" s="26"/>
      <c r="M262" s="26"/>
      <c r="O262" s="26"/>
      <c r="P262" s="26"/>
      <c r="Q262" s="26"/>
      <c r="R262" s="26"/>
    </row>
    <row r="263" spans="2:18" ht="16.5" x14ac:dyDescent="0.3">
      <c r="B263" s="343" t="s">
        <v>6</v>
      </c>
      <c r="C263" s="344" t="s">
        <v>502</v>
      </c>
      <c r="D263" s="345" t="s">
        <v>237</v>
      </c>
      <c r="F263"/>
      <c r="G263"/>
      <c r="H263"/>
      <c r="J263" s="26"/>
      <c r="K263" s="26"/>
      <c r="L263" s="26"/>
      <c r="M263" s="26"/>
      <c r="O263" s="26"/>
      <c r="P263" s="26"/>
      <c r="Q263" s="26"/>
      <c r="R263" s="26"/>
    </row>
    <row r="264" spans="2:18" ht="16.5" x14ac:dyDescent="0.3">
      <c r="B264" s="343" t="s">
        <v>6</v>
      </c>
      <c r="C264" s="344" t="s">
        <v>502</v>
      </c>
      <c r="D264" s="345" t="s">
        <v>235</v>
      </c>
      <c r="F264"/>
      <c r="G264"/>
      <c r="H264"/>
      <c r="J264" s="26"/>
      <c r="K264" s="26"/>
      <c r="L264" s="26"/>
      <c r="M264" s="26"/>
      <c r="O264" s="26"/>
      <c r="P264" s="26"/>
      <c r="Q264" s="26"/>
      <c r="R264" s="26"/>
    </row>
    <row r="265" spans="2:18" ht="16.5" x14ac:dyDescent="0.3">
      <c r="B265" s="343" t="s">
        <v>6</v>
      </c>
      <c r="C265" s="344" t="s">
        <v>502</v>
      </c>
      <c r="D265" s="345" t="s">
        <v>246</v>
      </c>
      <c r="F265"/>
      <c r="G265"/>
      <c r="H265"/>
      <c r="J265" s="26"/>
      <c r="K265" s="26"/>
      <c r="L265" s="26"/>
      <c r="M265" s="26"/>
      <c r="O265" s="26"/>
      <c r="P265" s="26"/>
      <c r="Q265" s="26"/>
      <c r="R265" s="26"/>
    </row>
    <row r="266" spans="2:18" ht="16.5" x14ac:dyDescent="0.3">
      <c r="B266" s="343" t="s">
        <v>6</v>
      </c>
      <c r="C266" s="344" t="s">
        <v>509</v>
      </c>
      <c r="D266" s="345" t="s">
        <v>510</v>
      </c>
      <c r="F266"/>
      <c r="G266"/>
      <c r="H266"/>
      <c r="J266" s="26"/>
      <c r="K266" s="26"/>
      <c r="L266" s="26"/>
      <c r="M266" s="26"/>
      <c r="O266" s="26"/>
      <c r="P266" s="26"/>
      <c r="Q266" s="26"/>
      <c r="R266" s="26"/>
    </row>
    <row r="267" spans="2:18" ht="16.5" x14ac:dyDescent="0.3">
      <c r="B267" s="343" t="s">
        <v>6</v>
      </c>
      <c r="C267" s="344" t="s">
        <v>502</v>
      </c>
      <c r="D267" s="345" t="s">
        <v>511</v>
      </c>
      <c r="F267"/>
      <c r="G267"/>
      <c r="H267"/>
      <c r="J267" s="26"/>
      <c r="K267" s="26"/>
      <c r="L267" s="26"/>
      <c r="M267" s="26"/>
      <c r="O267" s="26"/>
      <c r="P267" s="26"/>
      <c r="Q267" s="26"/>
      <c r="R267" s="26"/>
    </row>
    <row r="268" spans="2:18" ht="16.5" x14ac:dyDescent="0.3">
      <c r="B268" s="343" t="s">
        <v>6</v>
      </c>
      <c r="C268" s="344" t="s">
        <v>502</v>
      </c>
      <c r="D268" s="345" t="s">
        <v>238</v>
      </c>
      <c r="F268"/>
      <c r="G268"/>
      <c r="H268"/>
      <c r="J268" s="26"/>
      <c r="K268" s="26"/>
      <c r="L268" s="26"/>
      <c r="M268" s="26"/>
      <c r="O268" s="26"/>
      <c r="P268" s="26"/>
      <c r="Q268" s="26"/>
      <c r="R268" s="26"/>
    </row>
    <row r="269" spans="2:18" ht="16.5" x14ac:dyDescent="0.3">
      <c r="B269" s="343" t="s">
        <v>6</v>
      </c>
      <c r="C269" s="344" t="s">
        <v>502</v>
      </c>
      <c r="D269" s="345" t="s">
        <v>512</v>
      </c>
      <c r="F269"/>
      <c r="G269"/>
      <c r="H269"/>
      <c r="J269" s="26"/>
      <c r="K269" s="26"/>
      <c r="L269" s="26"/>
      <c r="M269" s="26"/>
      <c r="O269" s="26"/>
      <c r="P269" s="26"/>
      <c r="Q269" s="26"/>
      <c r="R269" s="26"/>
    </row>
    <row r="270" spans="2:18" ht="16.5" x14ac:dyDescent="0.3">
      <c r="B270" s="343" t="s">
        <v>6</v>
      </c>
      <c r="C270" s="344" t="s">
        <v>509</v>
      </c>
      <c r="D270" s="345" t="s">
        <v>277</v>
      </c>
      <c r="F270"/>
      <c r="G270"/>
      <c r="H270"/>
      <c r="J270" s="26"/>
      <c r="K270" s="26"/>
      <c r="L270" s="26"/>
      <c r="M270" s="26"/>
      <c r="O270" s="26"/>
      <c r="P270" s="26"/>
      <c r="Q270" s="26"/>
      <c r="R270" s="26"/>
    </row>
    <row r="271" spans="2:18" ht="16.5" x14ac:dyDescent="0.3">
      <c r="B271" s="343" t="s">
        <v>6</v>
      </c>
      <c r="C271" s="344" t="s">
        <v>507</v>
      </c>
      <c r="D271" s="345" t="s">
        <v>293</v>
      </c>
      <c r="F271"/>
      <c r="G271"/>
      <c r="H271"/>
      <c r="J271" s="26"/>
      <c r="K271" s="26"/>
      <c r="L271" s="26"/>
      <c r="M271" s="26"/>
      <c r="O271" s="26"/>
      <c r="P271" s="26"/>
      <c r="Q271" s="26"/>
      <c r="R271" s="26"/>
    </row>
    <row r="272" spans="2:18" ht="16.5" x14ac:dyDescent="0.3">
      <c r="B272" s="343" t="s">
        <v>6</v>
      </c>
      <c r="C272" s="344" t="s">
        <v>513</v>
      </c>
      <c r="D272" s="345" t="s">
        <v>278</v>
      </c>
      <c r="F272"/>
      <c r="G272"/>
      <c r="H272"/>
      <c r="J272" s="26"/>
      <c r="K272" s="26"/>
      <c r="L272" s="26"/>
      <c r="M272" s="26"/>
      <c r="O272" s="26"/>
      <c r="P272" s="26"/>
      <c r="Q272" s="26"/>
      <c r="R272" s="26"/>
    </row>
    <row r="273" spans="2:18" ht="16.5" x14ac:dyDescent="0.3">
      <c r="B273" s="343" t="s">
        <v>6</v>
      </c>
      <c r="C273" s="344" t="s">
        <v>502</v>
      </c>
      <c r="D273" s="345" t="s">
        <v>514</v>
      </c>
      <c r="F273"/>
      <c r="G273"/>
      <c r="H273"/>
      <c r="J273" s="26"/>
      <c r="K273" s="26"/>
      <c r="L273" s="26"/>
      <c r="M273" s="26"/>
      <c r="O273" s="26"/>
      <c r="P273" s="26"/>
      <c r="Q273" s="26"/>
      <c r="R273" s="26"/>
    </row>
    <row r="274" spans="2:18" ht="16.5" x14ac:dyDescent="0.3">
      <c r="B274" s="343" t="s">
        <v>6</v>
      </c>
      <c r="C274" s="344" t="s">
        <v>502</v>
      </c>
      <c r="D274" s="345" t="s">
        <v>247</v>
      </c>
      <c r="F274"/>
      <c r="G274"/>
      <c r="H274"/>
      <c r="J274" s="26"/>
      <c r="K274" s="26"/>
      <c r="L274" s="26"/>
      <c r="M274" s="26"/>
      <c r="O274" s="26"/>
      <c r="P274" s="26"/>
      <c r="Q274" s="26"/>
      <c r="R274" s="26"/>
    </row>
    <row r="275" spans="2:18" ht="16.5" x14ac:dyDescent="0.3">
      <c r="B275" s="343" t="s">
        <v>6</v>
      </c>
      <c r="C275" s="344" t="s">
        <v>502</v>
      </c>
      <c r="D275" s="345" t="s">
        <v>515</v>
      </c>
      <c r="F275"/>
      <c r="G275"/>
      <c r="H275"/>
      <c r="J275" s="26"/>
      <c r="K275" s="26"/>
      <c r="L275" s="26"/>
      <c r="M275" s="26"/>
      <c r="O275" s="26"/>
      <c r="P275" s="26"/>
      <c r="Q275" s="26"/>
      <c r="R275" s="26"/>
    </row>
    <row r="276" spans="2:18" ht="16.5" x14ac:dyDescent="0.3">
      <c r="B276" s="343" t="s">
        <v>6</v>
      </c>
      <c r="C276" s="344" t="s">
        <v>502</v>
      </c>
      <c r="D276" s="345" t="s">
        <v>291</v>
      </c>
      <c r="F276"/>
      <c r="G276"/>
      <c r="H276"/>
      <c r="J276" s="26"/>
      <c r="K276" s="26"/>
      <c r="L276" s="26"/>
      <c r="M276" s="26"/>
      <c r="O276" s="26"/>
      <c r="P276" s="26"/>
      <c r="Q276" s="26"/>
      <c r="R276" s="26"/>
    </row>
    <row r="277" spans="2:18" ht="16.5" x14ac:dyDescent="0.3">
      <c r="B277" s="343" t="s">
        <v>6</v>
      </c>
      <c r="C277" s="344" t="s">
        <v>502</v>
      </c>
      <c r="D277" s="345" t="s">
        <v>236</v>
      </c>
      <c r="F277"/>
      <c r="G277"/>
      <c r="H277"/>
      <c r="J277" s="26"/>
      <c r="K277" s="26"/>
      <c r="L277" s="26"/>
      <c r="M277" s="26"/>
      <c r="O277" s="26"/>
      <c r="P277" s="26"/>
      <c r="Q277" s="26"/>
      <c r="R277" s="26"/>
    </row>
    <row r="278" spans="2:18" ht="16.5" x14ac:dyDescent="0.3">
      <c r="B278" s="343" t="s">
        <v>6</v>
      </c>
      <c r="C278" s="344" t="s">
        <v>502</v>
      </c>
      <c r="D278" s="345" t="s">
        <v>230</v>
      </c>
      <c r="F278"/>
      <c r="G278"/>
      <c r="H278"/>
      <c r="J278" s="26"/>
      <c r="K278" s="26"/>
      <c r="L278" s="26"/>
      <c r="M278" s="26"/>
      <c r="O278" s="26"/>
      <c r="P278" s="26"/>
      <c r="Q278" s="26"/>
      <c r="R278" s="26"/>
    </row>
    <row r="279" spans="2:18" ht="16.5" x14ac:dyDescent="0.3">
      <c r="B279" s="343" t="s">
        <v>6</v>
      </c>
      <c r="C279" s="344" t="s">
        <v>509</v>
      </c>
      <c r="D279" s="345" t="s">
        <v>228</v>
      </c>
      <c r="F279"/>
      <c r="G279"/>
      <c r="H279"/>
      <c r="J279" s="26"/>
      <c r="K279" s="26"/>
      <c r="L279" s="26"/>
      <c r="M279" s="26"/>
      <c r="O279" s="26"/>
      <c r="P279" s="26"/>
      <c r="Q279" s="26"/>
      <c r="R279" s="26"/>
    </row>
    <row r="280" spans="2:18" ht="16.5" x14ac:dyDescent="0.3">
      <c r="B280" s="343" t="s">
        <v>6</v>
      </c>
      <c r="C280" s="344" t="s">
        <v>502</v>
      </c>
      <c r="D280" s="345" t="s">
        <v>239</v>
      </c>
      <c r="F280"/>
      <c r="G280"/>
      <c r="H280"/>
      <c r="J280" s="26"/>
      <c r="K280" s="26"/>
      <c r="L280" s="26"/>
      <c r="M280" s="26"/>
      <c r="O280" s="26"/>
      <c r="P280" s="26"/>
      <c r="Q280" s="26"/>
      <c r="R280" s="26"/>
    </row>
    <row r="281" spans="2:18" ht="16.5" x14ac:dyDescent="0.3">
      <c r="B281" s="343" t="s">
        <v>6</v>
      </c>
      <c r="C281" s="344" t="s">
        <v>502</v>
      </c>
      <c r="D281" s="345" t="s">
        <v>516</v>
      </c>
      <c r="F281"/>
      <c r="G281"/>
      <c r="H281"/>
      <c r="J281" s="26"/>
      <c r="K281" s="26"/>
      <c r="L281" s="26"/>
      <c r="M281" s="26"/>
      <c r="O281" s="26"/>
      <c r="P281" s="26"/>
      <c r="Q281" s="26"/>
      <c r="R281" s="26"/>
    </row>
    <row r="282" spans="2:18" ht="16.5" x14ac:dyDescent="0.3">
      <c r="B282" s="343" t="s">
        <v>6</v>
      </c>
      <c r="C282" s="344" t="s">
        <v>513</v>
      </c>
      <c r="D282" s="345" t="s">
        <v>282</v>
      </c>
      <c r="F282"/>
      <c r="G282"/>
      <c r="H282"/>
      <c r="J282" s="26"/>
      <c r="K282" s="26"/>
      <c r="L282" s="26"/>
      <c r="M282" s="26"/>
      <c r="O282" s="26"/>
      <c r="P282" s="26"/>
      <c r="Q282" s="26"/>
      <c r="R282" s="26"/>
    </row>
    <row r="283" spans="2:18" ht="16.5" x14ac:dyDescent="0.3">
      <c r="B283" s="343" t="s">
        <v>6</v>
      </c>
      <c r="C283" s="344" t="s">
        <v>513</v>
      </c>
      <c r="D283" s="345" t="s">
        <v>280</v>
      </c>
      <c r="F283"/>
      <c r="G283"/>
      <c r="H283"/>
      <c r="J283" s="26"/>
      <c r="K283" s="26"/>
      <c r="L283" s="26"/>
      <c r="M283" s="26"/>
      <c r="O283" s="26"/>
      <c r="P283" s="26"/>
      <c r="Q283" s="26"/>
      <c r="R283" s="26"/>
    </row>
    <row r="284" spans="2:18" ht="16.5" x14ac:dyDescent="0.3">
      <c r="B284" s="343" t="s">
        <v>6</v>
      </c>
      <c r="C284" s="344" t="s">
        <v>513</v>
      </c>
      <c r="D284" s="345" t="s">
        <v>517</v>
      </c>
      <c r="F284"/>
      <c r="G284"/>
      <c r="H284"/>
      <c r="J284" s="26"/>
      <c r="K284" s="26"/>
      <c r="L284" s="26"/>
      <c r="M284" s="26"/>
      <c r="O284" s="26"/>
      <c r="P284" s="26"/>
      <c r="Q284" s="26"/>
      <c r="R284" s="26"/>
    </row>
    <row r="285" spans="2:18" ht="16.5" x14ac:dyDescent="0.3">
      <c r="B285" s="343" t="s">
        <v>6</v>
      </c>
      <c r="C285" s="344" t="s">
        <v>502</v>
      </c>
      <c r="D285" s="345" t="s">
        <v>518</v>
      </c>
      <c r="F285"/>
      <c r="G285"/>
      <c r="H285"/>
      <c r="J285" s="26"/>
      <c r="K285" s="26"/>
      <c r="L285" s="26"/>
      <c r="M285" s="26"/>
      <c r="O285" s="26"/>
      <c r="P285" s="26"/>
      <c r="Q285" s="26"/>
      <c r="R285" s="26"/>
    </row>
    <row r="286" spans="2:18" ht="16.5" x14ac:dyDescent="0.3">
      <c r="B286" s="343" t="s">
        <v>6</v>
      </c>
      <c r="C286" s="344" t="s">
        <v>502</v>
      </c>
      <c r="D286" s="345" t="s">
        <v>519</v>
      </c>
      <c r="F286"/>
      <c r="G286"/>
      <c r="H286"/>
      <c r="J286" s="26"/>
      <c r="K286" s="26"/>
      <c r="L286" s="26"/>
      <c r="M286" s="26"/>
      <c r="O286" s="26"/>
      <c r="P286" s="26"/>
      <c r="Q286" s="26"/>
      <c r="R286" s="26"/>
    </row>
    <row r="287" spans="2:18" ht="16.5" x14ac:dyDescent="0.3">
      <c r="B287" s="343" t="s">
        <v>6</v>
      </c>
      <c r="C287" s="344" t="s">
        <v>502</v>
      </c>
      <c r="D287" s="345" t="s">
        <v>231</v>
      </c>
      <c r="F287"/>
      <c r="G287"/>
      <c r="H287"/>
      <c r="J287" s="26"/>
      <c r="K287" s="26"/>
      <c r="L287" s="26"/>
      <c r="M287" s="26"/>
      <c r="O287" s="26"/>
      <c r="P287" s="26"/>
      <c r="Q287" s="26"/>
      <c r="R287" s="26"/>
    </row>
    <row r="288" spans="2:18" ht="16.5" x14ac:dyDescent="0.3">
      <c r="B288" s="343" t="s">
        <v>6</v>
      </c>
      <c r="C288" s="344" t="s">
        <v>502</v>
      </c>
      <c r="D288" s="345" t="s">
        <v>233</v>
      </c>
      <c r="F288"/>
      <c r="G288"/>
      <c r="H288"/>
      <c r="J288" s="26"/>
      <c r="K288" s="26"/>
      <c r="L288" s="26"/>
      <c r="M288" s="26"/>
      <c r="O288" s="26"/>
      <c r="P288" s="26"/>
      <c r="Q288" s="26"/>
      <c r="R288" s="26"/>
    </row>
    <row r="289" spans="2:18" ht="16.5" x14ac:dyDescent="0.3">
      <c r="B289" s="343" t="s">
        <v>6</v>
      </c>
      <c r="C289" s="344" t="s">
        <v>502</v>
      </c>
      <c r="D289" s="345" t="s">
        <v>232</v>
      </c>
      <c r="F289"/>
      <c r="G289"/>
      <c r="H289"/>
      <c r="J289" s="26"/>
      <c r="K289" s="26"/>
      <c r="L289" s="26"/>
      <c r="M289" s="26"/>
      <c r="O289" s="26"/>
      <c r="P289" s="26"/>
      <c r="Q289" s="26"/>
      <c r="R289" s="26"/>
    </row>
    <row r="290" spans="2:18" ht="16.5" x14ac:dyDescent="0.3">
      <c r="B290" s="343" t="s">
        <v>6</v>
      </c>
      <c r="C290" s="344" t="s">
        <v>509</v>
      </c>
      <c r="D290" s="345" t="s">
        <v>227</v>
      </c>
      <c r="F290"/>
      <c r="G290"/>
      <c r="H290"/>
      <c r="J290" s="26"/>
      <c r="K290" s="26"/>
      <c r="L290" s="26"/>
      <c r="M290" s="26"/>
      <c r="O290" s="26"/>
      <c r="P290" s="26"/>
      <c r="Q290" s="26"/>
      <c r="R290" s="26"/>
    </row>
    <row r="291" spans="2:18" ht="16.5" x14ac:dyDescent="0.3">
      <c r="B291" s="343" t="s">
        <v>6</v>
      </c>
      <c r="C291" s="344" t="s">
        <v>502</v>
      </c>
      <c r="D291" s="345" t="s">
        <v>520</v>
      </c>
      <c r="F291"/>
      <c r="G291"/>
      <c r="H291"/>
      <c r="J291" s="26"/>
      <c r="K291" s="26"/>
      <c r="L291" s="26"/>
      <c r="M291" s="26"/>
      <c r="O291" s="26"/>
      <c r="P291" s="26"/>
      <c r="Q291" s="26"/>
      <c r="R291" s="26"/>
    </row>
    <row r="292" spans="2:18" ht="16.5" x14ac:dyDescent="0.3">
      <c r="B292" s="343" t="s">
        <v>6</v>
      </c>
      <c r="C292" s="344" t="s">
        <v>502</v>
      </c>
      <c r="D292" s="345" t="s">
        <v>521</v>
      </c>
      <c r="F292"/>
      <c r="G292"/>
      <c r="H292"/>
      <c r="J292" s="26"/>
      <c r="K292" s="26"/>
      <c r="L292" s="26"/>
      <c r="M292" s="26"/>
      <c r="O292" s="26"/>
      <c r="P292" s="26"/>
      <c r="Q292" s="26"/>
      <c r="R292" s="26"/>
    </row>
    <row r="293" spans="2:18" ht="16.5" x14ac:dyDescent="0.3">
      <c r="B293" s="343" t="s">
        <v>6</v>
      </c>
      <c r="C293" s="344" t="s">
        <v>502</v>
      </c>
      <c r="D293" s="345" t="s">
        <v>234</v>
      </c>
      <c r="F293"/>
      <c r="G293"/>
      <c r="H293"/>
      <c r="J293" s="26"/>
      <c r="K293" s="26"/>
      <c r="L293" s="26"/>
      <c r="M293" s="26"/>
      <c r="O293" s="26"/>
      <c r="P293" s="26"/>
      <c r="Q293" s="26"/>
      <c r="R293" s="26"/>
    </row>
    <row r="294" spans="2:18" ht="16.5" x14ac:dyDescent="0.3">
      <c r="B294" s="343" t="s">
        <v>6</v>
      </c>
      <c r="C294" s="344" t="s">
        <v>502</v>
      </c>
      <c r="D294" s="345" t="s">
        <v>522</v>
      </c>
      <c r="F294"/>
      <c r="G294"/>
      <c r="H294"/>
      <c r="J294" s="26"/>
      <c r="K294" s="26"/>
      <c r="L294" s="26"/>
      <c r="M294" s="26"/>
      <c r="O294" s="26"/>
      <c r="P294" s="26"/>
      <c r="Q294" s="26"/>
      <c r="R294" s="26"/>
    </row>
    <row r="295" spans="2:18" ht="16.5" x14ac:dyDescent="0.3">
      <c r="B295" s="343" t="s">
        <v>6</v>
      </c>
      <c r="C295" s="344" t="s">
        <v>502</v>
      </c>
      <c r="D295" s="345" t="s">
        <v>523</v>
      </c>
      <c r="F295"/>
      <c r="G295"/>
      <c r="H295"/>
      <c r="J295" s="26"/>
      <c r="K295" s="26"/>
      <c r="L295" s="26"/>
      <c r="M295" s="26"/>
      <c r="O295" s="26"/>
      <c r="P295" s="26"/>
      <c r="Q295" s="26"/>
      <c r="R295" s="26"/>
    </row>
    <row r="296" spans="2:18" ht="16.5" x14ac:dyDescent="0.3">
      <c r="B296" s="343" t="s">
        <v>6</v>
      </c>
      <c r="C296" s="344" t="s">
        <v>502</v>
      </c>
      <c r="D296" s="345" t="s">
        <v>524</v>
      </c>
      <c r="F296"/>
      <c r="G296"/>
      <c r="H296"/>
      <c r="J296" s="26"/>
      <c r="K296" s="26"/>
      <c r="L296" s="26"/>
      <c r="M296" s="26"/>
      <c r="O296" s="26"/>
      <c r="P296" s="26"/>
      <c r="Q296" s="26"/>
      <c r="R296" s="26"/>
    </row>
    <row r="297" spans="2:18" ht="16.5" x14ac:dyDescent="0.3">
      <c r="B297" s="343" t="s">
        <v>6</v>
      </c>
      <c r="C297" s="344" t="s">
        <v>502</v>
      </c>
      <c r="D297" s="345" t="s">
        <v>245</v>
      </c>
      <c r="F297"/>
      <c r="G297"/>
      <c r="H297"/>
      <c r="J297" s="26"/>
      <c r="K297" s="26"/>
      <c r="L297" s="26"/>
      <c r="M297" s="26"/>
      <c r="O297" s="26"/>
      <c r="P297" s="26"/>
      <c r="Q297" s="26"/>
      <c r="R297" s="26"/>
    </row>
    <row r="298" spans="2:18" ht="16.5" x14ac:dyDescent="0.3">
      <c r="B298" s="343" t="s">
        <v>6</v>
      </c>
      <c r="C298" s="344" t="s">
        <v>509</v>
      </c>
      <c r="D298" s="345" t="s">
        <v>229</v>
      </c>
      <c r="F298"/>
      <c r="G298"/>
      <c r="H298"/>
      <c r="J298" s="26"/>
      <c r="K298" s="26"/>
      <c r="L298" s="26"/>
      <c r="M298" s="26"/>
      <c r="O298" s="26"/>
      <c r="P298" s="26"/>
      <c r="Q298" s="26"/>
      <c r="R298" s="26"/>
    </row>
    <row r="299" spans="2:18" ht="16.5" x14ac:dyDescent="0.3">
      <c r="B299" s="343" t="s">
        <v>6</v>
      </c>
      <c r="C299" s="344" t="s">
        <v>502</v>
      </c>
      <c r="D299" s="345" t="s">
        <v>290</v>
      </c>
      <c r="F299"/>
      <c r="G299"/>
      <c r="H299"/>
      <c r="J299" s="26"/>
      <c r="K299" s="26"/>
      <c r="L299" s="26"/>
      <c r="M299" s="26"/>
      <c r="O299" s="26"/>
      <c r="P299" s="26"/>
      <c r="Q299" s="26"/>
      <c r="R299" s="26"/>
    </row>
    <row r="300" spans="2:18" ht="16.5" x14ac:dyDescent="0.3">
      <c r="B300" s="343" t="s">
        <v>6</v>
      </c>
      <c r="C300" s="344" t="s">
        <v>502</v>
      </c>
      <c r="D300" s="345" t="s">
        <v>525</v>
      </c>
      <c r="F300"/>
      <c r="G300"/>
      <c r="H300"/>
      <c r="J300" s="26"/>
      <c r="K300" s="26"/>
      <c r="L300" s="26"/>
      <c r="M300" s="26"/>
      <c r="O300" s="26"/>
      <c r="P300" s="26"/>
      <c r="Q300" s="26"/>
      <c r="R300" s="26"/>
    </row>
    <row r="301" spans="2:18" ht="16.5" x14ac:dyDescent="0.3">
      <c r="B301" s="343" t="s">
        <v>6</v>
      </c>
      <c r="C301" s="344" t="s">
        <v>502</v>
      </c>
      <c r="D301" s="345" t="s">
        <v>526</v>
      </c>
      <c r="F301"/>
      <c r="G301"/>
      <c r="H301"/>
      <c r="J301" s="26"/>
      <c r="K301" s="26"/>
      <c r="L301" s="26"/>
      <c r="M301" s="26"/>
      <c r="O301" s="26"/>
      <c r="P301" s="26"/>
      <c r="Q301" s="26"/>
      <c r="R301" s="26"/>
    </row>
    <row r="302" spans="2:18" ht="16.5" x14ac:dyDescent="0.3">
      <c r="B302" s="343" t="s">
        <v>6</v>
      </c>
      <c r="C302" s="344" t="s">
        <v>502</v>
      </c>
      <c r="D302" s="345" t="s">
        <v>527</v>
      </c>
      <c r="F302"/>
      <c r="G302"/>
      <c r="H302"/>
      <c r="J302" s="26"/>
      <c r="K302" s="26"/>
      <c r="L302" s="26"/>
      <c r="M302" s="26"/>
      <c r="O302" s="26"/>
      <c r="P302" s="26"/>
      <c r="Q302" s="26"/>
      <c r="R302" s="26"/>
    </row>
    <row r="303" spans="2:18" ht="16.5" x14ac:dyDescent="0.3">
      <c r="B303" s="343" t="s">
        <v>6</v>
      </c>
      <c r="C303" s="344" t="s">
        <v>507</v>
      </c>
      <c r="D303" s="345" t="s">
        <v>528</v>
      </c>
      <c r="F303"/>
      <c r="G303"/>
      <c r="H303"/>
      <c r="J303" s="26"/>
      <c r="K303" s="26"/>
      <c r="L303" s="26"/>
      <c r="M303" s="26"/>
      <c r="O303" s="26"/>
      <c r="P303" s="26"/>
      <c r="Q303" s="26"/>
      <c r="R303" s="26"/>
    </row>
    <row r="304" spans="2:18" ht="16.5" x14ac:dyDescent="0.3">
      <c r="B304" s="343" t="s">
        <v>6</v>
      </c>
      <c r="C304" s="344" t="s">
        <v>502</v>
      </c>
      <c r="D304" s="345" t="s">
        <v>529</v>
      </c>
      <c r="F304"/>
      <c r="G304"/>
      <c r="H304"/>
      <c r="J304" s="26"/>
      <c r="K304" s="26"/>
      <c r="L304" s="26"/>
      <c r="M304" s="26"/>
      <c r="O304" s="26"/>
      <c r="P304" s="26"/>
      <c r="Q304" s="26"/>
      <c r="R304" s="26"/>
    </row>
    <row r="305" spans="2:18" ht="16.5" x14ac:dyDescent="0.3">
      <c r="B305" s="343" t="s">
        <v>6</v>
      </c>
      <c r="C305" s="344" t="s">
        <v>502</v>
      </c>
      <c r="D305" s="345" t="s">
        <v>530</v>
      </c>
      <c r="F305"/>
      <c r="G305"/>
      <c r="H305"/>
      <c r="J305" s="26"/>
      <c r="K305" s="26"/>
      <c r="L305" s="26"/>
      <c r="M305" s="26"/>
      <c r="O305" s="26"/>
      <c r="P305" s="26"/>
      <c r="Q305" s="26"/>
      <c r="R305" s="26"/>
    </row>
    <row r="306" spans="2:18" ht="16.5" x14ac:dyDescent="0.3">
      <c r="B306" s="343" t="s">
        <v>6</v>
      </c>
      <c r="C306" s="344" t="s">
        <v>502</v>
      </c>
      <c r="D306" s="345" t="s">
        <v>531</v>
      </c>
      <c r="F306"/>
      <c r="G306"/>
      <c r="H306"/>
      <c r="J306" s="26"/>
      <c r="K306" s="26"/>
      <c r="L306" s="26"/>
      <c r="M306" s="26"/>
      <c r="O306" s="26"/>
      <c r="P306" s="26"/>
      <c r="Q306" s="26"/>
      <c r="R306" s="26"/>
    </row>
    <row r="307" spans="2:18" ht="16.5" x14ac:dyDescent="0.3">
      <c r="B307" s="343" t="s">
        <v>6</v>
      </c>
      <c r="C307" s="344" t="s">
        <v>503</v>
      </c>
      <c r="D307" s="345" t="s">
        <v>532</v>
      </c>
      <c r="F307"/>
      <c r="G307"/>
      <c r="H307"/>
      <c r="J307" s="26"/>
      <c r="K307" s="26"/>
      <c r="L307" s="26"/>
      <c r="M307" s="26"/>
      <c r="O307" s="26"/>
      <c r="P307" s="26"/>
      <c r="Q307" s="26"/>
      <c r="R307" s="26"/>
    </row>
    <row r="308" spans="2:18" ht="16.5" x14ac:dyDescent="0.3">
      <c r="B308" s="343" t="s">
        <v>6</v>
      </c>
      <c r="C308" s="344" t="s">
        <v>502</v>
      </c>
      <c r="D308" s="345" t="s">
        <v>533</v>
      </c>
      <c r="F308"/>
      <c r="G308"/>
      <c r="H308"/>
      <c r="J308" s="26"/>
      <c r="K308" s="26"/>
      <c r="L308" s="26"/>
      <c r="M308" s="26"/>
      <c r="O308" s="26"/>
      <c r="P308" s="26"/>
      <c r="Q308" s="26"/>
      <c r="R308" s="26"/>
    </row>
    <row r="309" spans="2:18" ht="16.5" x14ac:dyDescent="0.3">
      <c r="B309" s="343" t="s">
        <v>6</v>
      </c>
      <c r="C309" s="344" t="s">
        <v>509</v>
      </c>
      <c r="D309" s="345" t="s">
        <v>534</v>
      </c>
      <c r="F309"/>
      <c r="G309"/>
      <c r="H309"/>
      <c r="J309" s="26"/>
      <c r="K309" s="26"/>
      <c r="L309" s="26"/>
      <c r="M309" s="26"/>
      <c r="O309" s="26"/>
      <c r="P309" s="26"/>
      <c r="Q309" s="26"/>
      <c r="R309" s="26"/>
    </row>
    <row r="310" spans="2:18" ht="16.5" x14ac:dyDescent="0.3">
      <c r="B310" s="343" t="s">
        <v>6</v>
      </c>
      <c r="C310" s="344" t="s">
        <v>513</v>
      </c>
      <c r="D310" s="345" t="s">
        <v>535</v>
      </c>
      <c r="F310"/>
      <c r="G310"/>
      <c r="H310"/>
      <c r="J310" s="26"/>
      <c r="K310" s="26"/>
      <c r="L310" s="26"/>
      <c r="M310" s="26"/>
      <c r="O310" s="26"/>
      <c r="P310" s="26"/>
      <c r="Q310" s="26"/>
      <c r="R310" s="26"/>
    </row>
    <row r="311" spans="2:18" ht="16.5" x14ac:dyDescent="0.3">
      <c r="B311" s="343" t="s">
        <v>6</v>
      </c>
      <c r="C311" s="344" t="s">
        <v>509</v>
      </c>
      <c r="D311" s="345" t="s">
        <v>536</v>
      </c>
      <c r="F311"/>
      <c r="G311"/>
      <c r="H311"/>
      <c r="J311" s="26"/>
      <c r="K311" s="26"/>
      <c r="L311" s="26"/>
      <c r="M311" s="26"/>
      <c r="O311" s="26"/>
      <c r="P311" s="26"/>
      <c r="Q311" s="26"/>
      <c r="R311" s="26"/>
    </row>
    <row r="312" spans="2:18" ht="16.5" x14ac:dyDescent="0.3">
      <c r="B312" s="343" t="s">
        <v>6</v>
      </c>
      <c r="C312" s="344" t="s">
        <v>509</v>
      </c>
      <c r="D312" s="345" t="s">
        <v>537</v>
      </c>
      <c r="F312"/>
      <c r="G312"/>
      <c r="H312"/>
      <c r="J312" s="26"/>
      <c r="K312" s="26"/>
      <c r="L312" s="26"/>
      <c r="M312" s="26"/>
      <c r="O312" s="26"/>
      <c r="P312" s="26"/>
      <c r="Q312" s="26"/>
      <c r="R312" s="26"/>
    </row>
    <row r="313" spans="2:18" ht="16.5" x14ac:dyDescent="0.3">
      <c r="B313" s="343" t="s">
        <v>6</v>
      </c>
      <c r="C313" s="344" t="s">
        <v>509</v>
      </c>
      <c r="D313" s="345" t="s">
        <v>538</v>
      </c>
      <c r="F313"/>
      <c r="G313"/>
      <c r="H313"/>
      <c r="J313" s="26"/>
      <c r="K313" s="26"/>
      <c r="L313" s="26"/>
      <c r="M313" s="26"/>
      <c r="O313" s="26"/>
      <c r="P313" s="26"/>
      <c r="Q313" s="26"/>
      <c r="R313" s="26"/>
    </row>
    <row r="314" spans="2:18" ht="16.5" x14ac:dyDescent="0.3">
      <c r="B314" s="343" t="s">
        <v>6</v>
      </c>
      <c r="C314" s="344" t="s">
        <v>509</v>
      </c>
      <c r="D314" s="345" t="s">
        <v>539</v>
      </c>
      <c r="F314"/>
      <c r="G314"/>
      <c r="H314"/>
      <c r="J314" s="26"/>
      <c r="K314" s="26"/>
      <c r="L314" s="26"/>
      <c r="M314" s="26"/>
      <c r="O314" s="26"/>
      <c r="P314" s="26"/>
      <c r="Q314" s="26"/>
      <c r="R314" s="26"/>
    </row>
    <row r="315" spans="2:18" ht="16.5" x14ac:dyDescent="0.3">
      <c r="B315" s="343" t="s">
        <v>6</v>
      </c>
      <c r="C315" s="344" t="s">
        <v>509</v>
      </c>
      <c r="D315" s="345" t="s">
        <v>540</v>
      </c>
      <c r="F315"/>
      <c r="G315"/>
      <c r="H315"/>
      <c r="J315" s="26"/>
      <c r="K315" s="26"/>
      <c r="L315" s="26"/>
      <c r="M315" s="26"/>
      <c r="O315" s="26"/>
      <c r="P315" s="26"/>
      <c r="Q315" s="26"/>
      <c r="R315" s="26"/>
    </row>
    <row r="316" spans="2:18" ht="16.5" x14ac:dyDescent="0.3">
      <c r="B316" s="343" t="s">
        <v>6</v>
      </c>
      <c r="C316" s="344" t="s">
        <v>513</v>
      </c>
      <c r="D316" s="345" t="s">
        <v>541</v>
      </c>
      <c r="F316"/>
      <c r="G316"/>
      <c r="H316"/>
      <c r="J316" s="26"/>
      <c r="K316" s="26"/>
      <c r="L316" s="26"/>
      <c r="M316" s="26"/>
      <c r="O316" s="26"/>
      <c r="P316" s="26"/>
      <c r="Q316" s="26"/>
      <c r="R316" s="26"/>
    </row>
    <row r="317" spans="2:18" ht="16.5" x14ac:dyDescent="0.3">
      <c r="B317" s="343" t="s">
        <v>6</v>
      </c>
      <c r="C317" s="344" t="s">
        <v>513</v>
      </c>
      <c r="D317" s="345" t="s">
        <v>542</v>
      </c>
      <c r="F317"/>
      <c r="G317"/>
      <c r="H317"/>
      <c r="J317" s="26"/>
      <c r="K317" s="26"/>
      <c r="L317" s="26"/>
      <c r="M317" s="26"/>
      <c r="O317" s="26"/>
      <c r="P317" s="26"/>
      <c r="Q317" s="26"/>
      <c r="R317" s="26"/>
    </row>
    <row r="318" spans="2:18" ht="16.5" x14ac:dyDescent="0.3">
      <c r="B318" s="343" t="s">
        <v>6</v>
      </c>
      <c r="C318" s="344" t="s">
        <v>513</v>
      </c>
      <c r="D318" s="345" t="s">
        <v>543</v>
      </c>
      <c r="F318"/>
      <c r="G318"/>
      <c r="H318"/>
      <c r="J318" s="26"/>
      <c r="K318" s="26"/>
      <c r="L318" s="26"/>
      <c r="M318" s="26"/>
      <c r="O318" s="26"/>
      <c r="P318" s="26"/>
      <c r="Q318" s="26"/>
      <c r="R318" s="26"/>
    </row>
    <row r="319" spans="2:18" ht="16.5" x14ac:dyDescent="0.3">
      <c r="B319" s="343" t="s">
        <v>6</v>
      </c>
      <c r="C319" s="344" t="s">
        <v>509</v>
      </c>
      <c r="D319" s="345" t="s">
        <v>544</v>
      </c>
      <c r="F319"/>
      <c r="G319"/>
      <c r="H319"/>
      <c r="J319" s="26"/>
      <c r="K319" s="26"/>
      <c r="L319" s="26"/>
      <c r="M319" s="26"/>
      <c r="O319" s="26"/>
      <c r="P319" s="26"/>
      <c r="Q319" s="26"/>
      <c r="R319" s="26"/>
    </row>
    <row r="320" spans="2:18" ht="16.5" x14ac:dyDescent="0.3">
      <c r="B320" s="343" t="s">
        <v>6</v>
      </c>
      <c r="C320" s="344" t="s">
        <v>503</v>
      </c>
      <c r="D320" s="345" t="s">
        <v>545</v>
      </c>
      <c r="F320"/>
      <c r="G320"/>
      <c r="H320"/>
      <c r="J320" s="26"/>
      <c r="K320" s="26"/>
      <c r="L320" s="26"/>
      <c r="M320" s="26"/>
      <c r="O320" s="26"/>
      <c r="P320" s="26"/>
      <c r="Q320" s="26"/>
      <c r="R320" s="26"/>
    </row>
    <row r="321" spans="2:18" ht="16.5" x14ac:dyDescent="0.3">
      <c r="B321" s="343" t="s">
        <v>6</v>
      </c>
      <c r="C321" s="344" t="s">
        <v>502</v>
      </c>
      <c r="D321" s="345" t="s">
        <v>546</v>
      </c>
      <c r="F321"/>
      <c r="G321"/>
      <c r="H321"/>
      <c r="J321" s="26"/>
      <c r="K321" s="26"/>
      <c r="L321" s="26"/>
      <c r="M321" s="26"/>
      <c r="O321" s="26"/>
      <c r="P321" s="26"/>
      <c r="Q321" s="26"/>
      <c r="R321" s="26"/>
    </row>
    <row r="322" spans="2:18" ht="16.5" x14ac:dyDescent="0.3">
      <c r="B322" s="343" t="s">
        <v>6</v>
      </c>
      <c r="C322" s="344" t="s">
        <v>502</v>
      </c>
      <c r="D322" s="345" t="s">
        <v>547</v>
      </c>
      <c r="F322"/>
      <c r="G322"/>
      <c r="H322"/>
      <c r="J322" s="26"/>
      <c r="K322" s="26"/>
      <c r="L322" s="26"/>
      <c r="M322" s="26"/>
      <c r="O322" s="26"/>
      <c r="P322" s="26"/>
      <c r="Q322" s="26"/>
      <c r="R322" s="26"/>
    </row>
    <row r="323" spans="2:18" ht="16.5" x14ac:dyDescent="0.3">
      <c r="B323" s="343" t="s">
        <v>6</v>
      </c>
      <c r="C323" s="344" t="s">
        <v>502</v>
      </c>
      <c r="D323" s="345" t="s">
        <v>548</v>
      </c>
      <c r="F323"/>
      <c r="G323"/>
      <c r="H323"/>
      <c r="J323" s="26"/>
      <c r="K323" s="26"/>
      <c r="L323" s="26"/>
      <c r="M323" s="26"/>
      <c r="O323" s="26"/>
      <c r="P323" s="26"/>
      <c r="Q323" s="26"/>
      <c r="R323" s="26"/>
    </row>
    <row r="324" spans="2:18" ht="16.5" x14ac:dyDescent="0.3">
      <c r="B324" s="343" t="s">
        <v>6</v>
      </c>
      <c r="C324" s="344" t="s">
        <v>502</v>
      </c>
      <c r="D324" s="345" t="s">
        <v>549</v>
      </c>
      <c r="F324"/>
      <c r="G324"/>
      <c r="H324"/>
      <c r="J324" s="26"/>
      <c r="K324" s="26"/>
      <c r="L324" s="26"/>
      <c r="M324" s="26"/>
      <c r="O324" s="26"/>
      <c r="P324" s="26"/>
      <c r="Q324" s="26"/>
      <c r="R324" s="26"/>
    </row>
    <row r="325" spans="2:18" ht="16.5" x14ac:dyDescent="0.3">
      <c r="B325" s="343" t="s">
        <v>6</v>
      </c>
      <c r="C325" s="344" t="s">
        <v>502</v>
      </c>
      <c r="D325" s="345" t="s">
        <v>550</v>
      </c>
      <c r="F325"/>
      <c r="G325"/>
      <c r="H325"/>
      <c r="J325" s="26"/>
      <c r="K325" s="26"/>
      <c r="L325" s="26"/>
      <c r="M325" s="26"/>
      <c r="O325" s="26"/>
      <c r="P325" s="26"/>
      <c r="Q325" s="26"/>
      <c r="R325" s="26"/>
    </row>
    <row r="326" spans="2:18" ht="16.5" x14ac:dyDescent="0.3">
      <c r="B326" s="343" t="s">
        <v>6</v>
      </c>
      <c r="C326" s="344" t="s">
        <v>503</v>
      </c>
      <c r="D326" s="345" t="s">
        <v>551</v>
      </c>
      <c r="F326"/>
      <c r="G326"/>
      <c r="H326"/>
      <c r="J326" s="26"/>
      <c r="K326" s="26"/>
      <c r="L326" s="26"/>
      <c r="M326" s="26"/>
      <c r="O326" s="26"/>
      <c r="P326" s="26"/>
      <c r="Q326" s="26"/>
      <c r="R326" s="26"/>
    </row>
    <row r="327" spans="2:18" ht="16.5" x14ac:dyDescent="0.3">
      <c r="B327" s="343" t="s">
        <v>6</v>
      </c>
      <c r="C327" s="344" t="s">
        <v>502</v>
      </c>
      <c r="D327" s="345" t="s">
        <v>552</v>
      </c>
      <c r="F327"/>
      <c r="G327"/>
      <c r="H327"/>
      <c r="J327" s="26"/>
      <c r="K327" s="26"/>
      <c r="L327" s="26"/>
      <c r="M327" s="26"/>
      <c r="O327" s="26"/>
      <c r="P327" s="26"/>
      <c r="Q327" s="26"/>
      <c r="R327" s="26"/>
    </row>
    <row r="328" spans="2:18" ht="16.5" x14ac:dyDescent="0.3">
      <c r="B328" s="343" t="s">
        <v>6</v>
      </c>
      <c r="C328" s="344" t="s">
        <v>502</v>
      </c>
      <c r="D328" s="345" t="s">
        <v>553</v>
      </c>
      <c r="F328"/>
      <c r="G328"/>
      <c r="H328"/>
      <c r="J328" s="26"/>
      <c r="K328" s="26"/>
      <c r="L328" s="26"/>
      <c r="M328" s="26"/>
      <c r="O328" s="26"/>
      <c r="P328" s="26"/>
      <c r="Q328" s="26"/>
      <c r="R328" s="26"/>
    </row>
    <row r="329" spans="2:18" ht="16.5" x14ac:dyDescent="0.3">
      <c r="B329" s="343" t="s">
        <v>6</v>
      </c>
      <c r="C329" s="344" t="s">
        <v>502</v>
      </c>
      <c r="D329" s="345" t="s">
        <v>554</v>
      </c>
      <c r="F329"/>
      <c r="G329"/>
      <c r="H329"/>
      <c r="J329" s="26"/>
      <c r="K329" s="26"/>
      <c r="L329" s="26"/>
      <c r="M329" s="26"/>
      <c r="O329" s="26"/>
      <c r="P329" s="26"/>
      <c r="Q329" s="26"/>
      <c r="R329" s="26"/>
    </row>
    <row r="330" spans="2:18" ht="16.5" x14ac:dyDescent="0.3">
      <c r="B330" s="343" t="s">
        <v>6</v>
      </c>
      <c r="C330" s="344" t="s">
        <v>502</v>
      </c>
      <c r="D330" s="345" t="s">
        <v>555</v>
      </c>
      <c r="F330"/>
      <c r="G330"/>
      <c r="H330"/>
      <c r="J330" s="26"/>
      <c r="K330" s="26"/>
      <c r="L330" s="26"/>
      <c r="M330" s="26"/>
      <c r="O330" s="26"/>
      <c r="P330" s="26"/>
      <c r="Q330" s="26"/>
      <c r="R330" s="26"/>
    </row>
    <row r="331" spans="2:18" ht="16.5" x14ac:dyDescent="0.3">
      <c r="B331" s="343" t="s">
        <v>6</v>
      </c>
      <c r="C331" s="344" t="s">
        <v>502</v>
      </c>
      <c r="D331" s="345" t="s">
        <v>556</v>
      </c>
      <c r="F331"/>
      <c r="G331"/>
      <c r="H331"/>
      <c r="J331" s="26"/>
      <c r="K331" s="26"/>
      <c r="L331" s="26"/>
      <c r="M331" s="26"/>
      <c r="O331" s="26"/>
      <c r="P331" s="26"/>
      <c r="Q331" s="26"/>
      <c r="R331" s="26"/>
    </row>
    <row r="332" spans="2:18" ht="16.5" x14ac:dyDescent="0.3">
      <c r="B332" s="343" t="s">
        <v>6</v>
      </c>
      <c r="C332" s="344" t="s">
        <v>502</v>
      </c>
      <c r="D332" s="345" t="s">
        <v>557</v>
      </c>
      <c r="F332"/>
      <c r="G332"/>
      <c r="H332"/>
      <c r="J332" s="26"/>
      <c r="K332" s="26"/>
      <c r="L332" s="26"/>
      <c r="M332" s="26"/>
      <c r="O332" s="26"/>
      <c r="P332" s="26"/>
      <c r="Q332" s="26"/>
      <c r="R332" s="26"/>
    </row>
    <row r="333" spans="2:18" ht="16.5" x14ac:dyDescent="0.3">
      <c r="B333" s="343" t="s">
        <v>6</v>
      </c>
      <c r="C333" s="344" t="s">
        <v>502</v>
      </c>
      <c r="D333" s="345" t="s">
        <v>558</v>
      </c>
      <c r="F333"/>
      <c r="G333"/>
      <c r="H333"/>
      <c r="J333" s="26"/>
      <c r="K333" s="26"/>
      <c r="L333" s="26"/>
      <c r="M333" s="26"/>
      <c r="O333" s="26"/>
      <c r="P333" s="26"/>
      <c r="Q333" s="26"/>
      <c r="R333" s="26"/>
    </row>
    <row r="334" spans="2:18" ht="16.5" x14ac:dyDescent="0.3">
      <c r="B334" s="343" t="s">
        <v>6</v>
      </c>
      <c r="C334" s="344" t="s">
        <v>502</v>
      </c>
      <c r="D334" s="345" t="s">
        <v>559</v>
      </c>
      <c r="F334"/>
      <c r="G334"/>
      <c r="H334"/>
      <c r="J334" s="26"/>
      <c r="K334" s="26"/>
      <c r="L334" s="26"/>
      <c r="M334" s="26"/>
      <c r="O334" s="26"/>
      <c r="P334" s="26"/>
      <c r="Q334" s="26"/>
      <c r="R334" s="26"/>
    </row>
    <row r="335" spans="2:18" ht="16.5" x14ac:dyDescent="0.3">
      <c r="B335" s="343" t="s">
        <v>6</v>
      </c>
      <c r="C335" s="344" t="s">
        <v>502</v>
      </c>
      <c r="D335" s="345" t="s">
        <v>560</v>
      </c>
      <c r="F335"/>
      <c r="G335"/>
      <c r="H335"/>
      <c r="J335" s="26"/>
      <c r="K335" s="26"/>
      <c r="L335" s="26"/>
      <c r="M335" s="26"/>
      <c r="O335" s="26"/>
      <c r="P335" s="26"/>
      <c r="Q335" s="26"/>
      <c r="R335" s="26"/>
    </row>
    <row r="336" spans="2:18" ht="16.5" x14ac:dyDescent="0.3">
      <c r="B336" s="343" t="s">
        <v>6</v>
      </c>
      <c r="C336" s="344" t="s">
        <v>502</v>
      </c>
      <c r="D336" s="345" t="s">
        <v>241</v>
      </c>
      <c r="F336"/>
      <c r="G336"/>
      <c r="H336"/>
      <c r="J336" s="26"/>
      <c r="K336" s="26"/>
      <c r="L336" s="26"/>
      <c r="M336" s="26"/>
      <c r="O336" s="26"/>
      <c r="P336" s="26"/>
      <c r="Q336" s="26"/>
      <c r="R336" s="26"/>
    </row>
    <row r="337" spans="2:18" ht="16.5" x14ac:dyDescent="0.3">
      <c r="B337" s="343" t="s">
        <v>6</v>
      </c>
      <c r="C337" s="344" t="s">
        <v>503</v>
      </c>
      <c r="D337" s="345" t="s">
        <v>248</v>
      </c>
      <c r="F337"/>
      <c r="G337"/>
      <c r="H337"/>
      <c r="J337" s="26"/>
      <c r="K337" s="26"/>
      <c r="L337" s="26"/>
      <c r="M337" s="26"/>
      <c r="O337" s="26"/>
      <c r="P337" s="26"/>
      <c r="Q337" s="26"/>
      <c r="R337" s="26"/>
    </row>
    <row r="338" spans="2:18" ht="16.5" x14ac:dyDescent="0.3">
      <c r="B338" s="343" t="s">
        <v>6</v>
      </c>
      <c r="C338" s="344" t="s">
        <v>561</v>
      </c>
      <c r="D338" s="345" t="s">
        <v>249</v>
      </c>
      <c r="F338"/>
      <c r="G338"/>
      <c r="H338"/>
      <c r="J338" s="26"/>
      <c r="K338" s="26"/>
      <c r="L338" s="26"/>
      <c r="M338" s="26"/>
      <c r="O338" s="26"/>
      <c r="P338" s="26"/>
      <c r="Q338" s="26"/>
      <c r="R338" s="26"/>
    </row>
    <row r="339" spans="2:18" ht="16.5" x14ac:dyDescent="0.3">
      <c r="B339" s="343" t="s">
        <v>6</v>
      </c>
      <c r="C339" s="344" t="s">
        <v>502</v>
      </c>
      <c r="D339" s="345" t="s">
        <v>279</v>
      </c>
      <c r="F339"/>
      <c r="G339"/>
      <c r="H339"/>
      <c r="J339" s="26"/>
      <c r="K339" s="26"/>
      <c r="L339" s="26"/>
      <c r="M339" s="26"/>
      <c r="O339" s="26"/>
      <c r="P339" s="26"/>
      <c r="Q339" s="26"/>
      <c r="R339" s="26"/>
    </row>
    <row r="340" spans="2:18" ht="16.5" x14ac:dyDescent="0.3">
      <c r="B340" s="343" t="s">
        <v>6</v>
      </c>
      <c r="C340" s="344" t="s">
        <v>502</v>
      </c>
      <c r="D340" s="345" t="s">
        <v>281</v>
      </c>
      <c r="F340"/>
      <c r="G340"/>
      <c r="H340"/>
      <c r="J340" s="26"/>
      <c r="K340" s="26"/>
      <c r="L340" s="26"/>
      <c r="M340" s="26"/>
      <c r="O340" s="26"/>
      <c r="P340" s="26"/>
      <c r="Q340" s="26"/>
      <c r="R340" s="26"/>
    </row>
    <row r="341" spans="2:18" ht="16.5" x14ac:dyDescent="0.3">
      <c r="B341" s="343" t="s">
        <v>6</v>
      </c>
      <c r="C341" s="344" t="s">
        <v>502</v>
      </c>
      <c r="D341" s="345" t="s">
        <v>252</v>
      </c>
      <c r="F341"/>
      <c r="G341"/>
      <c r="H341"/>
      <c r="J341" s="26"/>
      <c r="K341" s="26"/>
      <c r="L341" s="26"/>
      <c r="M341" s="26"/>
      <c r="O341" s="26"/>
      <c r="P341" s="26"/>
      <c r="Q341" s="26"/>
      <c r="R341" s="26"/>
    </row>
    <row r="342" spans="2:18" ht="16.5" x14ac:dyDescent="0.3">
      <c r="B342" s="343" t="s">
        <v>6</v>
      </c>
      <c r="C342" s="344" t="s">
        <v>502</v>
      </c>
      <c r="D342" s="345" t="s">
        <v>253</v>
      </c>
      <c r="F342"/>
      <c r="G342"/>
      <c r="H342"/>
      <c r="J342" s="26"/>
      <c r="K342" s="26"/>
      <c r="L342" s="26"/>
      <c r="M342" s="26"/>
      <c r="O342" s="26"/>
      <c r="P342" s="26"/>
      <c r="Q342" s="26"/>
      <c r="R342" s="26"/>
    </row>
    <row r="343" spans="2:18" ht="16.5" x14ac:dyDescent="0.3">
      <c r="B343" s="343" t="s">
        <v>6</v>
      </c>
      <c r="C343" s="344" t="s">
        <v>502</v>
      </c>
      <c r="D343" s="345" t="s">
        <v>288</v>
      </c>
      <c r="F343"/>
      <c r="G343"/>
      <c r="H343"/>
      <c r="J343" s="26"/>
      <c r="K343" s="26"/>
      <c r="L343" s="26"/>
      <c r="M343" s="26"/>
      <c r="O343" s="26"/>
      <c r="P343" s="26"/>
      <c r="Q343" s="26"/>
      <c r="R343" s="26"/>
    </row>
    <row r="344" spans="2:18" ht="16.5" x14ac:dyDescent="0.3">
      <c r="B344" s="343" t="s">
        <v>6</v>
      </c>
      <c r="C344" s="344" t="s">
        <v>562</v>
      </c>
      <c r="D344" s="345" t="s">
        <v>261</v>
      </c>
      <c r="F344"/>
      <c r="G344"/>
      <c r="H344"/>
      <c r="J344" s="26"/>
      <c r="K344" s="26"/>
      <c r="L344" s="26"/>
      <c r="M344" s="26"/>
      <c r="O344" s="26"/>
      <c r="P344" s="26"/>
      <c r="Q344" s="26"/>
      <c r="R344" s="26"/>
    </row>
    <row r="345" spans="2:18" ht="16.5" x14ac:dyDescent="0.3">
      <c r="B345" s="343" t="s">
        <v>6</v>
      </c>
      <c r="C345" s="344" t="s">
        <v>562</v>
      </c>
      <c r="D345" s="345" t="s">
        <v>298</v>
      </c>
      <c r="F345"/>
      <c r="G345"/>
      <c r="H345"/>
      <c r="J345" s="26"/>
      <c r="K345" s="26"/>
      <c r="L345" s="26"/>
      <c r="M345" s="26"/>
      <c r="O345" s="26"/>
      <c r="P345" s="26"/>
      <c r="Q345" s="26"/>
      <c r="R345" s="26"/>
    </row>
    <row r="346" spans="2:18" ht="16.5" x14ac:dyDescent="0.3">
      <c r="B346" s="343" t="s">
        <v>6</v>
      </c>
      <c r="C346" s="344" t="s">
        <v>562</v>
      </c>
      <c r="D346" s="345" t="s">
        <v>300</v>
      </c>
      <c r="F346"/>
      <c r="G346"/>
      <c r="H346"/>
      <c r="J346" s="26"/>
      <c r="K346" s="26"/>
      <c r="L346" s="26"/>
      <c r="M346" s="26"/>
      <c r="O346" s="26"/>
      <c r="P346" s="26"/>
      <c r="Q346" s="26"/>
      <c r="R346" s="26"/>
    </row>
    <row r="347" spans="2:18" ht="16.5" x14ac:dyDescent="0.3">
      <c r="B347" s="343" t="s">
        <v>6</v>
      </c>
      <c r="C347" s="344" t="s">
        <v>562</v>
      </c>
      <c r="D347" s="345" t="s">
        <v>296</v>
      </c>
      <c r="F347"/>
      <c r="G347"/>
      <c r="H347"/>
      <c r="J347" s="26"/>
      <c r="K347" s="26"/>
      <c r="L347" s="26"/>
      <c r="M347" s="26"/>
      <c r="O347" s="26"/>
      <c r="P347" s="26"/>
      <c r="Q347" s="26"/>
      <c r="R347" s="26"/>
    </row>
    <row r="348" spans="2:18" ht="16.5" x14ac:dyDescent="0.3">
      <c r="B348" s="343" t="s">
        <v>6</v>
      </c>
      <c r="C348" s="344" t="s">
        <v>562</v>
      </c>
      <c r="D348" s="345" t="s">
        <v>265</v>
      </c>
      <c r="F348"/>
      <c r="G348"/>
      <c r="H348"/>
      <c r="J348" s="26"/>
      <c r="K348" s="26"/>
      <c r="L348" s="26"/>
      <c r="M348" s="26"/>
      <c r="O348" s="26"/>
      <c r="P348" s="26"/>
      <c r="Q348" s="26"/>
      <c r="R348" s="26"/>
    </row>
    <row r="349" spans="2:18" ht="16.5" x14ac:dyDescent="0.3">
      <c r="B349" s="343" t="s">
        <v>6</v>
      </c>
      <c r="C349" s="344" t="s">
        <v>562</v>
      </c>
      <c r="D349" s="345" t="s">
        <v>266</v>
      </c>
      <c r="F349"/>
      <c r="G349"/>
      <c r="H349"/>
      <c r="J349" s="26"/>
      <c r="K349" s="26"/>
      <c r="L349" s="26"/>
      <c r="M349" s="26"/>
      <c r="O349" s="26"/>
      <c r="P349" s="26"/>
      <c r="Q349" s="26"/>
      <c r="R349" s="26"/>
    </row>
    <row r="350" spans="2:18" ht="16.5" x14ac:dyDescent="0.3">
      <c r="B350" s="343" t="s">
        <v>6</v>
      </c>
      <c r="C350" s="344" t="s">
        <v>502</v>
      </c>
      <c r="D350" s="345" t="s">
        <v>283</v>
      </c>
      <c r="F350"/>
      <c r="G350"/>
      <c r="H350"/>
      <c r="J350" s="26"/>
      <c r="K350" s="26"/>
      <c r="L350" s="26"/>
      <c r="M350" s="26"/>
      <c r="O350" s="26"/>
      <c r="P350" s="26"/>
      <c r="Q350" s="26"/>
      <c r="R350" s="26"/>
    </row>
    <row r="351" spans="2:18" ht="16.5" x14ac:dyDescent="0.3">
      <c r="B351" s="343" t="s">
        <v>6</v>
      </c>
      <c r="C351" s="344" t="s">
        <v>502</v>
      </c>
      <c r="D351" s="345" t="s">
        <v>250</v>
      </c>
      <c r="F351"/>
      <c r="G351"/>
      <c r="H351"/>
      <c r="J351" s="26"/>
      <c r="K351" s="26"/>
      <c r="L351" s="26"/>
      <c r="M351" s="26"/>
      <c r="O351" s="26"/>
      <c r="P351" s="26"/>
      <c r="Q351" s="26"/>
      <c r="R351" s="26"/>
    </row>
    <row r="352" spans="2:18" ht="16.5" x14ac:dyDescent="0.3">
      <c r="B352" s="343" t="s">
        <v>6</v>
      </c>
      <c r="C352" s="344" t="s">
        <v>502</v>
      </c>
      <c r="D352" s="345" t="s">
        <v>251</v>
      </c>
      <c r="F352"/>
      <c r="G352"/>
      <c r="H352"/>
      <c r="J352" s="26"/>
      <c r="K352" s="26"/>
      <c r="L352" s="26"/>
      <c r="M352" s="26"/>
      <c r="O352" s="26"/>
      <c r="P352" s="26"/>
      <c r="Q352" s="26"/>
      <c r="R352" s="26"/>
    </row>
    <row r="353" spans="2:18" ht="16.5" x14ac:dyDescent="0.3">
      <c r="B353" s="343" t="s">
        <v>6</v>
      </c>
      <c r="C353" s="344" t="s">
        <v>502</v>
      </c>
      <c r="D353" s="345" t="s">
        <v>254</v>
      </c>
      <c r="F353"/>
      <c r="G353"/>
      <c r="H353"/>
      <c r="J353" s="26"/>
      <c r="K353" s="26"/>
      <c r="L353" s="26"/>
      <c r="M353" s="26"/>
      <c r="O353" s="26"/>
      <c r="P353" s="26"/>
      <c r="Q353" s="26"/>
      <c r="R353" s="26"/>
    </row>
    <row r="354" spans="2:18" ht="16.5" x14ac:dyDescent="0.3">
      <c r="B354" s="343" t="s">
        <v>6</v>
      </c>
      <c r="C354" s="344" t="s">
        <v>502</v>
      </c>
      <c r="D354" s="345" t="s">
        <v>255</v>
      </c>
      <c r="F354"/>
      <c r="G354"/>
      <c r="H354"/>
      <c r="J354" s="26"/>
      <c r="K354" s="26"/>
      <c r="L354" s="26"/>
      <c r="M354" s="26"/>
      <c r="O354" s="26"/>
      <c r="P354" s="26"/>
      <c r="Q354" s="26"/>
      <c r="R354" s="26"/>
    </row>
    <row r="355" spans="2:18" ht="16.5" x14ac:dyDescent="0.3">
      <c r="B355" s="343" t="s">
        <v>6</v>
      </c>
      <c r="C355" s="344" t="s">
        <v>502</v>
      </c>
      <c r="D355" s="345" t="s">
        <v>287</v>
      </c>
      <c r="F355"/>
      <c r="G355"/>
      <c r="H355"/>
      <c r="J355" s="26"/>
      <c r="K355" s="26"/>
      <c r="L355" s="26"/>
      <c r="M355" s="26"/>
      <c r="O355" s="26"/>
      <c r="P355" s="26"/>
      <c r="Q355" s="26"/>
      <c r="R355" s="26"/>
    </row>
    <row r="356" spans="2:18" ht="16.5" x14ac:dyDescent="0.3">
      <c r="B356" s="343" t="s">
        <v>6</v>
      </c>
      <c r="C356" s="344" t="s">
        <v>502</v>
      </c>
      <c r="D356" s="345" t="s">
        <v>243</v>
      </c>
      <c r="F356"/>
      <c r="G356"/>
      <c r="H356"/>
      <c r="J356" s="26"/>
      <c r="K356" s="26"/>
      <c r="L356" s="26"/>
      <c r="M356" s="26"/>
      <c r="O356" s="26"/>
      <c r="P356" s="26"/>
      <c r="Q356" s="26"/>
      <c r="R356" s="26"/>
    </row>
    <row r="357" spans="2:18" ht="16.5" x14ac:dyDescent="0.3">
      <c r="B357" s="343" t="s">
        <v>6</v>
      </c>
      <c r="C357" s="344" t="s">
        <v>502</v>
      </c>
      <c r="D357" s="345" t="s">
        <v>244</v>
      </c>
      <c r="F357"/>
      <c r="G357"/>
      <c r="H357"/>
      <c r="J357" s="26"/>
      <c r="K357" s="26"/>
      <c r="L357" s="26"/>
      <c r="M357" s="26"/>
      <c r="O357" s="26"/>
      <c r="P357" s="26"/>
      <c r="Q357" s="26"/>
      <c r="R357" s="26"/>
    </row>
    <row r="358" spans="2:18" ht="16.5" x14ac:dyDescent="0.3">
      <c r="B358" s="343" t="s">
        <v>6</v>
      </c>
      <c r="C358" s="344" t="s">
        <v>502</v>
      </c>
      <c r="D358" s="345" t="s">
        <v>256</v>
      </c>
      <c r="F358"/>
      <c r="G358"/>
      <c r="H358"/>
      <c r="J358" s="26"/>
      <c r="K358" s="26"/>
      <c r="L358" s="26"/>
      <c r="M358" s="26"/>
      <c r="O358" s="26"/>
      <c r="P358" s="26"/>
      <c r="Q358" s="26"/>
      <c r="R358" s="26"/>
    </row>
    <row r="359" spans="2:18" ht="16.5" x14ac:dyDescent="0.3">
      <c r="B359" s="343" t="s">
        <v>6</v>
      </c>
      <c r="C359" s="344" t="s">
        <v>502</v>
      </c>
      <c r="D359" s="345" t="s">
        <v>257</v>
      </c>
      <c r="F359"/>
      <c r="G359"/>
      <c r="H359"/>
      <c r="J359" s="26"/>
      <c r="K359" s="26"/>
      <c r="L359" s="26"/>
      <c r="M359" s="26"/>
      <c r="O359" s="26"/>
      <c r="P359" s="26"/>
      <c r="Q359" s="26"/>
      <c r="R359" s="26"/>
    </row>
    <row r="360" spans="2:18" ht="16.5" x14ac:dyDescent="0.3">
      <c r="B360" s="343" t="s">
        <v>6</v>
      </c>
      <c r="C360" s="344" t="s">
        <v>502</v>
      </c>
      <c r="D360" s="345" t="s">
        <v>258</v>
      </c>
      <c r="F360"/>
      <c r="G360"/>
      <c r="H360"/>
      <c r="J360" s="26"/>
      <c r="K360" s="26"/>
      <c r="L360" s="26"/>
      <c r="M360" s="26"/>
      <c r="O360" s="26"/>
      <c r="P360" s="26"/>
      <c r="Q360" s="26"/>
      <c r="R360" s="26"/>
    </row>
    <row r="361" spans="2:18" ht="16.5" x14ac:dyDescent="0.3">
      <c r="B361" s="343" t="s">
        <v>6</v>
      </c>
      <c r="C361" s="344" t="s">
        <v>502</v>
      </c>
      <c r="D361" s="345" t="s">
        <v>259</v>
      </c>
      <c r="F361"/>
      <c r="G361"/>
      <c r="H361"/>
      <c r="J361" s="26"/>
      <c r="K361" s="26"/>
      <c r="L361" s="26"/>
      <c r="M361" s="26"/>
      <c r="O361" s="26"/>
      <c r="P361" s="26"/>
      <c r="Q361" s="26"/>
      <c r="R361" s="26"/>
    </row>
    <row r="362" spans="2:18" ht="16.5" x14ac:dyDescent="0.3">
      <c r="B362" s="343" t="s">
        <v>6</v>
      </c>
      <c r="C362" s="344" t="s">
        <v>502</v>
      </c>
      <c r="D362" s="345" t="s">
        <v>260</v>
      </c>
      <c r="F362"/>
      <c r="G362"/>
      <c r="H362"/>
      <c r="J362" s="26"/>
      <c r="K362" s="26"/>
      <c r="L362" s="26"/>
      <c r="M362" s="26"/>
      <c r="O362" s="26"/>
      <c r="P362" s="26"/>
      <c r="Q362" s="26"/>
      <c r="R362" s="26"/>
    </row>
    <row r="363" spans="2:18" ht="16.5" x14ac:dyDescent="0.3">
      <c r="B363" s="343" t="s">
        <v>6</v>
      </c>
      <c r="C363" s="344" t="s">
        <v>562</v>
      </c>
      <c r="D363" s="345" t="s">
        <v>264</v>
      </c>
      <c r="F363"/>
      <c r="G363"/>
      <c r="H363"/>
      <c r="J363" s="26"/>
      <c r="K363" s="26"/>
      <c r="L363" s="26"/>
      <c r="M363" s="26"/>
      <c r="O363" s="26"/>
      <c r="P363" s="26"/>
      <c r="Q363" s="26"/>
      <c r="R363" s="26"/>
    </row>
    <row r="364" spans="2:18" ht="16.5" x14ac:dyDescent="0.3">
      <c r="B364" s="343" t="s">
        <v>6</v>
      </c>
      <c r="C364" s="344" t="s">
        <v>562</v>
      </c>
      <c r="D364" s="345" t="s">
        <v>262</v>
      </c>
      <c r="F364"/>
      <c r="G364"/>
      <c r="H364"/>
      <c r="J364" s="26"/>
      <c r="K364" s="26"/>
      <c r="L364" s="26"/>
      <c r="M364" s="26"/>
      <c r="O364" s="26"/>
      <c r="P364" s="26"/>
      <c r="Q364" s="26"/>
      <c r="R364" s="26"/>
    </row>
    <row r="365" spans="2:18" ht="16.5" x14ac:dyDescent="0.3">
      <c r="B365" s="343" t="s">
        <v>6</v>
      </c>
      <c r="C365" s="344" t="s">
        <v>562</v>
      </c>
      <c r="D365" s="345" t="s">
        <v>263</v>
      </c>
      <c r="F365"/>
      <c r="G365"/>
      <c r="H365"/>
      <c r="J365" s="26"/>
      <c r="K365" s="26"/>
      <c r="L365" s="26"/>
      <c r="M365" s="26"/>
      <c r="O365" s="26"/>
      <c r="P365" s="26"/>
      <c r="Q365" s="26"/>
      <c r="R365" s="26"/>
    </row>
    <row r="366" spans="2:18" ht="16.5" x14ac:dyDescent="0.3">
      <c r="B366" s="343" t="s">
        <v>6</v>
      </c>
      <c r="C366" s="344" t="s">
        <v>562</v>
      </c>
      <c r="D366" s="345" t="s">
        <v>267</v>
      </c>
      <c r="F366"/>
      <c r="G366"/>
      <c r="H366"/>
      <c r="J366" s="26"/>
      <c r="K366" s="26"/>
      <c r="L366" s="26"/>
      <c r="M366" s="26"/>
      <c r="O366" s="26"/>
      <c r="P366" s="26"/>
      <c r="Q366" s="26"/>
      <c r="R366" s="26"/>
    </row>
    <row r="367" spans="2:18" ht="16.5" x14ac:dyDescent="0.3">
      <c r="B367" s="343" t="s">
        <v>6</v>
      </c>
      <c r="C367" s="344" t="s">
        <v>562</v>
      </c>
      <c r="D367" s="345" t="s">
        <v>268</v>
      </c>
      <c r="F367"/>
      <c r="G367"/>
      <c r="H367"/>
      <c r="J367" s="26"/>
      <c r="K367" s="26"/>
      <c r="L367" s="26"/>
      <c r="M367" s="26"/>
      <c r="O367" s="26"/>
      <c r="P367" s="26"/>
      <c r="Q367" s="26"/>
      <c r="R367" s="26"/>
    </row>
    <row r="368" spans="2:18" ht="16.5" x14ac:dyDescent="0.3">
      <c r="B368" s="343" t="s">
        <v>6</v>
      </c>
      <c r="C368" s="344" t="s">
        <v>562</v>
      </c>
      <c r="D368" s="345" t="s">
        <v>269</v>
      </c>
      <c r="F368"/>
      <c r="G368"/>
      <c r="H368"/>
      <c r="J368" s="26"/>
      <c r="K368" s="26"/>
      <c r="L368" s="26"/>
      <c r="M368" s="26"/>
      <c r="O368" s="26"/>
      <c r="P368" s="26"/>
      <c r="Q368" s="26"/>
      <c r="R368" s="26"/>
    </row>
    <row r="369" spans="2:18" ht="16.5" x14ac:dyDescent="0.3">
      <c r="B369" s="343" t="s">
        <v>6</v>
      </c>
      <c r="C369" s="344" t="s">
        <v>562</v>
      </c>
      <c r="D369" s="345" t="s">
        <v>270</v>
      </c>
      <c r="F369"/>
      <c r="G369"/>
      <c r="H369"/>
      <c r="J369" s="26"/>
      <c r="K369" s="26"/>
      <c r="L369" s="26"/>
      <c r="M369" s="26"/>
      <c r="O369" s="26"/>
      <c r="P369" s="26"/>
      <c r="Q369" s="26"/>
      <c r="R369" s="26"/>
    </row>
    <row r="370" spans="2:18" ht="16.5" x14ac:dyDescent="0.3">
      <c r="B370" s="343" t="s">
        <v>6</v>
      </c>
      <c r="C370" s="344" t="s">
        <v>562</v>
      </c>
      <c r="D370" s="345" t="s">
        <v>271</v>
      </c>
      <c r="F370"/>
      <c r="G370"/>
      <c r="H370"/>
      <c r="J370" s="26"/>
      <c r="K370" s="26"/>
      <c r="L370" s="26"/>
      <c r="M370" s="26"/>
      <c r="O370" s="26"/>
      <c r="P370" s="26"/>
      <c r="Q370" s="26"/>
      <c r="R370" s="26"/>
    </row>
    <row r="371" spans="2:18" ht="16.5" x14ac:dyDescent="0.3">
      <c r="B371" s="343" t="s">
        <v>6</v>
      </c>
      <c r="C371" s="344" t="s">
        <v>562</v>
      </c>
      <c r="D371" s="345" t="s">
        <v>272</v>
      </c>
      <c r="F371"/>
      <c r="G371"/>
      <c r="H371"/>
      <c r="J371" s="26"/>
      <c r="K371" s="26"/>
      <c r="L371" s="26"/>
      <c r="M371" s="26"/>
      <c r="O371" s="26"/>
      <c r="P371" s="26"/>
      <c r="Q371" s="26"/>
      <c r="R371" s="26"/>
    </row>
    <row r="372" spans="2:18" ht="16.5" x14ac:dyDescent="0.3">
      <c r="B372" s="343" t="s">
        <v>6</v>
      </c>
      <c r="C372" s="344" t="s">
        <v>562</v>
      </c>
      <c r="D372" s="345" t="s">
        <v>273</v>
      </c>
      <c r="F372"/>
      <c r="G372"/>
      <c r="H372"/>
      <c r="J372" s="26"/>
      <c r="K372" s="26"/>
      <c r="L372" s="26"/>
      <c r="M372" s="26"/>
      <c r="O372" s="26"/>
      <c r="P372" s="26"/>
      <c r="Q372" s="26"/>
      <c r="R372" s="26"/>
    </row>
    <row r="373" spans="2:18" ht="16.5" x14ac:dyDescent="0.3">
      <c r="B373" s="343" t="s">
        <v>6</v>
      </c>
      <c r="C373" s="344" t="s">
        <v>562</v>
      </c>
      <c r="D373" s="345" t="s">
        <v>274</v>
      </c>
      <c r="F373"/>
      <c r="G373"/>
      <c r="H373"/>
      <c r="J373" s="26"/>
      <c r="K373" s="26"/>
      <c r="L373" s="26"/>
      <c r="M373" s="26"/>
      <c r="O373" s="26"/>
      <c r="P373" s="26"/>
      <c r="Q373" s="26"/>
      <c r="R373" s="26"/>
    </row>
    <row r="374" spans="2:18" ht="16.5" x14ac:dyDescent="0.3">
      <c r="B374" s="343" t="s">
        <v>6</v>
      </c>
      <c r="C374" s="344" t="s">
        <v>562</v>
      </c>
      <c r="D374" s="345" t="s">
        <v>275</v>
      </c>
      <c r="F374"/>
      <c r="G374"/>
      <c r="H374"/>
      <c r="J374" s="26"/>
      <c r="K374" s="26"/>
      <c r="L374" s="26"/>
      <c r="M374" s="26"/>
      <c r="O374" s="26"/>
      <c r="P374" s="26"/>
      <c r="Q374" s="26"/>
      <c r="R374" s="26"/>
    </row>
    <row r="375" spans="2:18" ht="16.5" x14ac:dyDescent="0.3">
      <c r="B375" s="343" t="s">
        <v>6</v>
      </c>
      <c r="C375" s="344" t="s">
        <v>562</v>
      </c>
      <c r="D375" s="345" t="s">
        <v>276</v>
      </c>
      <c r="F375"/>
      <c r="G375"/>
      <c r="H375"/>
      <c r="J375" s="26"/>
      <c r="K375" s="26"/>
      <c r="L375" s="26"/>
      <c r="M375" s="26"/>
      <c r="O375" s="26"/>
      <c r="P375" s="26"/>
      <c r="Q375" s="26"/>
      <c r="R375" s="26"/>
    </row>
    <row r="376" spans="2:18" ht="16.5" x14ac:dyDescent="0.3">
      <c r="B376" s="343" t="s">
        <v>6</v>
      </c>
      <c r="C376" s="344" t="s">
        <v>562</v>
      </c>
      <c r="D376" s="345" t="s">
        <v>1197</v>
      </c>
      <c r="F376"/>
      <c r="G376"/>
      <c r="H376"/>
      <c r="J376" s="26"/>
      <c r="K376" s="26"/>
      <c r="L376" s="26"/>
      <c r="M376" s="26"/>
      <c r="O376" s="26"/>
      <c r="P376" s="26"/>
      <c r="Q376" s="26"/>
      <c r="R376" s="26"/>
    </row>
    <row r="377" spans="2:18" ht="16.5" x14ac:dyDescent="0.3">
      <c r="B377" s="343" t="s">
        <v>6</v>
      </c>
      <c r="C377" s="344" t="s">
        <v>562</v>
      </c>
      <c r="D377" s="345" t="s">
        <v>1198</v>
      </c>
      <c r="F377"/>
      <c r="G377"/>
      <c r="H377"/>
      <c r="J377" s="26"/>
      <c r="K377" s="26"/>
      <c r="L377" s="26"/>
      <c r="M377" s="26"/>
      <c r="O377" s="26"/>
      <c r="P377" s="26"/>
      <c r="Q377" s="26"/>
      <c r="R377" s="26"/>
    </row>
    <row r="378" spans="2:18" ht="16.5" x14ac:dyDescent="0.3">
      <c r="B378" s="343" t="s">
        <v>6</v>
      </c>
      <c r="C378" s="344" t="s">
        <v>563</v>
      </c>
      <c r="D378" s="345" t="s">
        <v>564</v>
      </c>
      <c r="F378"/>
      <c r="G378"/>
      <c r="H378"/>
      <c r="J378" s="26"/>
      <c r="K378" s="26"/>
      <c r="L378" s="26"/>
      <c r="M378" s="26"/>
      <c r="O378" s="26"/>
      <c r="P378" s="26"/>
      <c r="Q378" s="26"/>
      <c r="R378" s="26"/>
    </row>
    <row r="379" spans="2:18" ht="16.5" x14ac:dyDescent="0.3">
      <c r="B379" s="343" t="s">
        <v>6</v>
      </c>
      <c r="C379" s="344" t="s">
        <v>563</v>
      </c>
      <c r="D379" s="345" t="s">
        <v>565</v>
      </c>
      <c r="F379"/>
      <c r="G379"/>
      <c r="H379"/>
      <c r="J379" s="26"/>
      <c r="K379" s="26"/>
      <c r="L379" s="26"/>
      <c r="M379" s="26"/>
      <c r="O379" s="26"/>
      <c r="P379" s="26"/>
      <c r="Q379" s="26"/>
      <c r="R379" s="26"/>
    </row>
    <row r="380" spans="2:18" ht="16.5" x14ac:dyDescent="0.3">
      <c r="B380" s="343" t="s">
        <v>6</v>
      </c>
      <c r="C380" s="344" t="s">
        <v>582</v>
      </c>
      <c r="D380" s="345" t="s">
        <v>1349</v>
      </c>
      <c r="F380"/>
      <c r="G380"/>
      <c r="H380"/>
      <c r="J380" s="26"/>
      <c r="K380" s="26"/>
      <c r="L380" s="26"/>
      <c r="M380" s="26"/>
      <c r="O380" s="26"/>
      <c r="P380" s="26"/>
      <c r="Q380" s="26"/>
      <c r="R380" s="26"/>
    </row>
    <row r="381" spans="2:18" ht="16.5" x14ac:dyDescent="0.3">
      <c r="B381" s="343" t="s">
        <v>6</v>
      </c>
      <c r="C381" s="344" t="s">
        <v>582</v>
      </c>
      <c r="D381" s="345" t="s">
        <v>1356</v>
      </c>
      <c r="F381"/>
      <c r="G381"/>
      <c r="H381"/>
      <c r="J381" s="26"/>
      <c r="K381" s="26"/>
      <c r="L381" s="26"/>
      <c r="M381" s="26"/>
      <c r="O381" s="26"/>
      <c r="P381" s="26"/>
      <c r="Q381" s="26"/>
      <c r="R381" s="26"/>
    </row>
    <row r="382" spans="2:18" ht="16.5" x14ac:dyDescent="0.3">
      <c r="B382" s="343" t="s">
        <v>6</v>
      </c>
      <c r="C382" s="344" t="s">
        <v>582</v>
      </c>
      <c r="D382" s="345" t="s">
        <v>1357</v>
      </c>
      <c r="F382"/>
      <c r="G382"/>
      <c r="H382"/>
      <c r="J382" s="26"/>
      <c r="K382" s="26"/>
      <c r="L382" s="26"/>
      <c r="M382" s="26"/>
      <c r="O382" s="26"/>
      <c r="P382" s="26"/>
      <c r="Q382" s="26"/>
      <c r="R382" s="26"/>
    </row>
    <row r="383" spans="2:18" ht="16.5" x14ac:dyDescent="0.3">
      <c r="B383" s="343" t="s">
        <v>6</v>
      </c>
      <c r="C383" s="344" t="s">
        <v>587</v>
      </c>
      <c r="D383" s="345" t="s">
        <v>1350</v>
      </c>
      <c r="F383"/>
      <c r="G383"/>
      <c r="H383"/>
      <c r="J383" s="26"/>
      <c r="K383" s="26"/>
      <c r="L383" s="26"/>
      <c r="M383" s="26"/>
      <c r="O383" s="26"/>
      <c r="P383" s="26"/>
      <c r="Q383" s="26"/>
      <c r="R383" s="26"/>
    </row>
    <row r="384" spans="2:18" ht="16.5" x14ac:dyDescent="0.3">
      <c r="B384" s="343" t="s">
        <v>6</v>
      </c>
      <c r="C384" s="344" t="s">
        <v>582</v>
      </c>
      <c r="D384" s="345" t="s">
        <v>1372</v>
      </c>
      <c r="F384"/>
      <c r="G384"/>
      <c r="H384"/>
      <c r="J384" s="26"/>
      <c r="K384" s="26"/>
      <c r="L384" s="26"/>
      <c r="M384" s="26"/>
      <c r="O384" s="26"/>
      <c r="P384" s="26"/>
      <c r="Q384" s="26"/>
      <c r="R384" s="26"/>
    </row>
    <row r="385" spans="2:18" ht="16.5" x14ac:dyDescent="0.3">
      <c r="B385" s="343" t="s">
        <v>6</v>
      </c>
      <c r="C385" s="344" t="s">
        <v>587</v>
      </c>
      <c r="D385" s="345" t="s">
        <v>1373</v>
      </c>
      <c r="F385"/>
      <c r="G385"/>
      <c r="H385"/>
      <c r="J385" s="26"/>
      <c r="K385" s="26"/>
      <c r="L385" s="26"/>
      <c r="M385" s="26"/>
      <c r="O385" s="26"/>
      <c r="P385" s="26"/>
      <c r="Q385" s="26"/>
      <c r="R385" s="26"/>
    </row>
    <row r="386" spans="2:18" ht="16.5" x14ac:dyDescent="0.3">
      <c r="B386" s="343" t="s">
        <v>566</v>
      </c>
      <c r="C386" s="344" t="s">
        <v>507</v>
      </c>
      <c r="D386" s="345" t="s">
        <v>294</v>
      </c>
      <c r="F386"/>
      <c r="G386"/>
      <c r="H386"/>
      <c r="J386" s="26"/>
      <c r="K386" s="26"/>
      <c r="L386" s="26"/>
      <c r="M386" s="26"/>
      <c r="O386" s="26"/>
      <c r="P386" s="26"/>
      <c r="Q386" s="26"/>
      <c r="R386" s="26"/>
    </row>
    <row r="387" spans="2:18" ht="16.5" x14ac:dyDescent="0.3">
      <c r="B387" s="343" t="s">
        <v>566</v>
      </c>
      <c r="C387" s="344" t="s">
        <v>507</v>
      </c>
      <c r="D387" s="345" t="s">
        <v>295</v>
      </c>
      <c r="F387"/>
      <c r="G387"/>
      <c r="H387"/>
      <c r="J387" s="26"/>
      <c r="K387" s="26"/>
      <c r="L387" s="26"/>
      <c r="M387" s="26"/>
      <c r="O387" s="26"/>
      <c r="P387" s="26"/>
      <c r="Q387" s="26"/>
      <c r="R387" s="26"/>
    </row>
    <row r="388" spans="2:18" ht="16.5" x14ac:dyDescent="0.3">
      <c r="B388" s="343" t="s">
        <v>566</v>
      </c>
      <c r="C388" s="344" t="s">
        <v>513</v>
      </c>
      <c r="D388" s="345" t="s">
        <v>284</v>
      </c>
      <c r="F388"/>
      <c r="G388"/>
      <c r="H388"/>
      <c r="J388" s="26"/>
      <c r="K388" s="26"/>
      <c r="L388" s="26"/>
      <c r="M388" s="26"/>
      <c r="O388" s="26"/>
      <c r="P388" s="26"/>
      <c r="Q388" s="26"/>
      <c r="R388" s="26"/>
    </row>
    <row r="389" spans="2:18" ht="16.5" x14ac:dyDescent="0.3">
      <c r="B389" s="343" t="s">
        <v>566</v>
      </c>
      <c r="C389" s="344" t="s">
        <v>513</v>
      </c>
      <c r="D389" s="345" t="s">
        <v>285</v>
      </c>
      <c r="F389"/>
      <c r="G389"/>
      <c r="H389"/>
      <c r="J389" s="26"/>
      <c r="K389" s="26"/>
      <c r="L389" s="26"/>
      <c r="M389" s="26"/>
      <c r="O389" s="26"/>
      <c r="P389" s="26"/>
      <c r="Q389" s="26"/>
      <c r="R389" s="26"/>
    </row>
    <row r="390" spans="2:18" ht="16.5" x14ac:dyDescent="0.3">
      <c r="B390" s="343" t="s">
        <v>566</v>
      </c>
      <c r="C390" s="344" t="s">
        <v>513</v>
      </c>
      <c r="D390" s="345" t="s">
        <v>567</v>
      </c>
      <c r="F390"/>
      <c r="G390"/>
      <c r="H390"/>
      <c r="J390" s="26"/>
      <c r="K390" s="26"/>
      <c r="L390" s="26"/>
      <c r="M390" s="26"/>
      <c r="O390" s="26"/>
      <c r="P390" s="26"/>
      <c r="Q390" s="26"/>
      <c r="R390" s="26"/>
    </row>
    <row r="391" spans="2:18" ht="16.5" x14ac:dyDescent="0.3">
      <c r="B391" s="343" t="s">
        <v>566</v>
      </c>
      <c r="C391" s="344" t="s">
        <v>507</v>
      </c>
      <c r="D391" s="345" t="s">
        <v>568</v>
      </c>
      <c r="F391"/>
      <c r="G391"/>
      <c r="H391"/>
      <c r="J391" s="26"/>
      <c r="K391" s="26"/>
      <c r="L391" s="26"/>
      <c r="M391" s="26"/>
      <c r="O391" s="26"/>
      <c r="P391" s="26"/>
      <c r="Q391" s="26"/>
      <c r="R391" s="26"/>
    </row>
    <row r="392" spans="2:18" ht="16.5" x14ac:dyDescent="0.3">
      <c r="B392" s="343" t="s">
        <v>566</v>
      </c>
      <c r="C392" s="344" t="s">
        <v>513</v>
      </c>
      <c r="D392" s="345" t="s">
        <v>569</v>
      </c>
      <c r="F392"/>
      <c r="G392"/>
      <c r="H392"/>
      <c r="J392" s="26"/>
      <c r="K392" s="26"/>
      <c r="L392" s="26"/>
      <c r="M392" s="26"/>
      <c r="O392" s="26"/>
      <c r="P392" s="26"/>
      <c r="Q392" s="26"/>
      <c r="R392" s="26"/>
    </row>
    <row r="393" spans="2:18" ht="16.5" x14ac:dyDescent="0.3">
      <c r="B393" s="343" t="s">
        <v>566</v>
      </c>
      <c r="C393" s="344" t="s">
        <v>513</v>
      </c>
      <c r="D393" s="345" t="s">
        <v>570</v>
      </c>
      <c r="F393"/>
      <c r="G393"/>
      <c r="H393"/>
      <c r="J393" s="26"/>
      <c r="K393" s="26"/>
      <c r="L393" s="26"/>
      <c r="M393" s="26"/>
      <c r="O393" s="26"/>
      <c r="P393" s="26"/>
      <c r="Q393" s="26"/>
      <c r="R393" s="26"/>
    </row>
    <row r="394" spans="2:18" ht="16.5" x14ac:dyDescent="0.3">
      <c r="B394" s="343" t="s">
        <v>566</v>
      </c>
      <c r="C394" s="344" t="s">
        <v>513</v>
      </c>
      <c r="D394" s="345" t="s">
        <v>571</v>
      </c>
      <c r="F394"/>
      <c r="G394"/>
      <c r="H394"/>
      <c r="J394" s="26"/>
      <c r="K394" s="26"/>
      <c r="L394" s="26"/>
      <c r="M394" s="26"/>
      <c r="O394" s="26"/>
      <c r="P394" s="26"/>
      <c r="Q394" s="26"/>
      <c r="R394" s="26"/>
    </row>
    <row r="395" spans="2:18" ht="16.5" x14ac:dyDescent="0.3">
      <c r="B395" s="343" t="s">
        <v>566</v>
      </c>
      <c r="C395" s="344" t="s">
        <v>513</v>
      </c>
      <c r="D395" s="345" t="s">
        <v>572</v>
      </c>
      <c r="F395"/>
      <c r="G395"/>
      <c r="H395"/>
      <c r="J395" s="26"/>
      <c r="K395" s="26"/>
      <c r="L395" s="26"/>
      <c r="M395" s="26"/>
      <c r="O395" s="26"/>
      <c r="P395" s="26"/>
      <c r="Q395" s="26"/>
      <c r="R395" s="26"/>
    </row>
    <row r="396" spans="2:18" ht="16.5" x14ac:dyDescent="0.3">
      <c r="B396" s="343" t="s">
        <v>566</v>
      </c>
      <c r="C396" s="344" t="s">
        <v>513</v>
      </c>
      <c r="D396" s="345" t="s">
        <v>573</v>
      </c>
      <c r="F396"/>
      <c r="G396"/>
      <c r="H396"/>
      <c r="J396" s="26"/>
      <c r="K396" s="26"/>
      <c r="L396" s="26"/>
      <c r="M396" s="26"/>
      <c r="O396" s="26"/>
      <c r="P396" s="26"/>
      <c r="Q396" s="26"/>
      <c r="R396" s="26"/>
    </row>
    <row r="397" spans="2:18" ht="16.5" x14ac:dyDescent="0.3">
      <c r="B397" s="343" t="s">
        <v>566</v>
      </c>
      <c r="C397" s="344" t="s">
        <v>507</v>
      </c>
      <c r="D397" s="345" t="s">
        <v>574</v>
      </c>
      <c r="F397"/>
      <c r="G397"/>
      <c r="H397"/>
      <c r="J397" s="26"/>
      <c r="K397" s="26"/>
      <c r="L397" s="26"/>
      <c r="M397" s="26"/>
      <c r="O397" s="26"/>
      <c r="P397" s="26"/>
      <c r="Q397" s="26"/>
      <c r="R397" s="26"/>
    </row>
    <row r="398" spans="2:18" ht="16.5" x14ac:dyDescent="0.3">
      <c r="B398" s="343" t="s">
        <v>575</v>
      </c>
      <c r="C398" s="344" t="s">
        <v>513</v>
      </c>
      <c r="D398" s="345" t="s">
        <v>286</v>
      </c>
      <c r="F398"/>
      <c r="G398"/>
      <c r="H398"/>
      <c r="J398" s="26"/>
      <c r="K398" s="26"/>
      <c r="L398" s="26"/>
      <c r="M398" s="26"/>
      <c r="O398" s="26"/>
      <c r="P398" s="26"/>
      <c r="Q398" s="26"/>
      <c r="R398" s="26"/>
    </row>
    <row r="399" spans="2:18" ht="16.5" x14ac:dyDescent="0.3">
      <c r="B399" s="343" t="s">
        <v>575</v>
      </c>
      <c r="C399" s="344" t="s">
        <v>513</v>
      </c>
      <c r="D399" s="345" t="s">
        <v>576</v>
      </c>
      <c r="F399"/>
      <c r="G399"/>
      <c r="H399"/>
      <c r="J399" s="26"/>
      <c r="K399" s="26"/>
      <c r="L399" s="26"/>
      <c r="M399" s="26"/>
      <c r="O399" s="26"/>
      <c r="P399" s="26"/>
      <c r="Q399" s="26"/>
      <c r="R399" s="26"/>
    </row>
    <row r="400" spans="2:18" ht="16.5" x14ac:dyDescent="0.3">
      <c r="B400" s="343" t="s">
        <v>575</v>
      </c>
      <c r="C400" s="344" t="s">
        <v>513</v>
      </c>
      <c r="D400" s="345" t="s">
        <v>577</v>
      </c>
      <c r="F400"/>
      <c r="G400"/>
      <c r="H400"/>
      <c r="J400" s="26"/>
      <c r="K400" s="26"/>
      <c r="L400" s="26"/>
      <c r="M400" s="26"/>
      <c r="O400" s="26"/>
      <c r="P400" s="26"/>
      <c r="Q400" s="26"/>
      <c r="R400" s="26"/>
    </row>
    <row r="401" spans="2:18" ht="16.5" x14ac:dyDescent="0.3">
      <c r="B401" s="343" t="s">
        <v>575</v>
      </c>
      <c r="C401" s="344" t="s">
        <v>513</v>
      </c>
      <c r="D401" s="345" t="s">
        <v>578</v>
      </c>
      <c r="F401"/>
      <c r="G401"/>
      <c r="H401"/>
      <c r="J401" s="26"/>
      <c r="K401" s="26"/>
      <c r="L401" s="26"/>
      <c r="M401" s="26"/>
      <c r="O401" s="26"/>
      <c r="P401" s="26"/>
      <c r="Q401" s="26"/>
      <c r="R401" s="26"/>
    </row>
    <row r="402" spans="2:18" ht="16.5" x14ac:dyDescent="0.3">
      <c r="B402" s="343" t="s">
        <v>575</v>
      </c>
      <c r="C402" s="344" t="s">
        <v>507</v>
      </c>
      <c r="D402" s="345" t="s">
        <v>579</v>
      </c>
      <c r="F402"/>
      <c r="G402"/>
      <c r="H402"/>
      <c r="J402" s="26"/>
      <c r="K402" s="26"/>
      <c r="L402" s="26"/>
      <c r="M402" s="26"/>
      <c r="O402" s="26"/>
      <c r="P402" s="26"/>
      <c r="Q402" s="26"/>
      <c r="R402" s="26"/>
    </row>
    <row r="403" spans="2:18" ht="16.5" x14ac:dyDescent="0.3">
      <c r="B403" s="343" t="s">
        <v>575</v>
      </c>
      <c r="C403" s="344" t="s">
        <v>513</v>
      </c>
      <c r="D403" s="345" t="s">
        <v>1359</v>
      </c>
      <c r="F403"/>
      <c r="G403"/>
      <c r="H403"/>
      <c r="J403" s="26"/>
      <c r="K403" s="26"/>
      <c r="L403" s="26"/>
      <c r="M403" s="26"/>
      <c r="O403" s="26"/>
      <c r="P403" s="26"/>
      <c r="Q403" s="26"/>
      <c r="R403" s="26"/>
    </row>
    <row r="404" spans="2:18" ht="16.5" x14ac:dyDescent="0.3">
      <c r="B404" s="343" t="s">
        <v>580</v>
      </c>
      <c r="C404" s="344" t="s">
        <v>507</v>
      </c>
      <c r="D404" s="345" t="s">
        <v>297</v>
      </c>
      <c r="F404"/>
      <c r="G404"/>
      <c r="H404"/>
      <c r="J404" s="26"/>
      <c r="K404" s="26"/>
      <c r="L404" s="26"/>
      <c r="M404" s="26"/>
      <c r="O404" s="26"/>
      <c r="P404" s="26"/>
      <c r="Q404" s="26"/>
      <c r="R404" s="26"/>
    </row>
    <row r="405" spans="2:18" ht="16.5" x14ac:dyDescent="0.3">
      <c r="B405" s="343" t="s">
        <v>580</v>
      </c>
      <c r="C405" s="344" t="s">
        <v>507</v>
      </c>
      <c r="D405" s="345" t="s">
        <v>299</v>
      </c>
      <c r="F405"/>
      <c r="G405"/>
      <c r="H405"/>
      <c r="J405" s="26"/>
      <c r="K405" s="26"/>
      <c r="L405" s="26"/>
      <c r="M405" s="26"/>
      <c r="O405" s="26"/>
      <c r="P405" s="26"/>
      <c r="Q405" s="26"/>
      <c r="R405" s="26"/>
    </row>
    <row r="406" spans="2:18" ht="16.5" x14ac:dyDescent="0.3">
      <c r="B406" s="343" t="s">
        <v>580</v>
      </c>
      <c r="C406" s="344" t="s">
        <v>507</v>
      </c>
      <c r="D406" s="345" t="s">
        <v>302</v>
      </c>
      <c r="F406"/>
      <c r="G406"/>
      <c r="H406"/>
      <c r="J406" s="26"/>
      <c r="K406" s="26"/>
      <c r="L406" s="26"/>
      <c r="M406" s="26"/>
      <c r="O406" s="26"/>
      <c r="P406" s="26"/>
      <c r="Q406" s="26"/>
      <c r="R406" s="26"/>
    </row>
    <row r="407" spans="2:18" ht="16.5" x14ac:dyDescent="0.3">
      <c r="B407" s="343" t="s">
        <v>580</v>
      </c>
      <c r="C407" s="344" t="s">
        <v>507</v>
      </c>
      <c r="D407" s="345" t="s">
        <v>581</v>
      </c>
      <c r="F407"/>
      <c r="G407"/>
      <c r="H407"/>
      <c r="J407" s="26"/>
      <c r="K407" s="26"/>
      <c r="L407" s="26"/>
      <c r="M407" s="26"/>
      <c r="O407" s="26"/>
      <c r="P407" s="26"/>
      <c r="Q407" s="26"/>
      <c r="R407" s="26"/>
    </row>
    <row r="408" spans="2:18" ht="16.5" x14ac:dyDescent="0.3">
      <c r="B408" s="343" t="s">
        <v>1209</v>
      </c>
      <c r="C408" s="344" t="s">
        <v>1315</v>
      </c>
      <c r="D408" s="345" t="s">
        <v>1210</v>
      </c>
      <c r="F408"/>
      <c r="G408"/>
      <c r="H408"/>
      <c r="J408" s="26"/>
      <c r="K408" s="26"/>
      <c r="L408" s="26"/>
      <c r="M408" s="26"/>
      <c r="O408" s="26"/>
      <c r="P408" s="26"/>
      <c r="Q408" s="26"/>
      <c r="R408" s="26"/>
    </row>
    <row r="409" spans="2:18" ht="16.5" x14ac:dyDescent="0.3">
      <c r="B409" s="343" t="s">
        <v>1209</v>
      </c>
      <c r="C409" s="344" t="s">
        <v>1315</v>
      </c>
      <c r="D409" s="345" t="s">
        <v>1211</v>
      </c>
      <c r="F409"/>
      <c r="G409"/>
      <c r="H409"/>
      <c r="J409" s="26"/>
      <c r="K409" s="26"/>
      <c r="L409" s="26"/>
      <c r="M409" s="26"/>
      <c r="O409" s="26"/>
      <c r="P409" s="26"/>
      <c r="Q409" s="26"/>
      <c r="R409" s="26"/>
    </row>
    <row r="410" spans="2:18" ht="16.5" x14ac:dyDescent="0.3">
      <c r="B410" s="343" t="s">
        <v>1209</v>
      </c>
      <c r="C410" s="344" t="s">
        <v>1315</v>
      </c>
      <c r="D410" s="345" t="s">
        <v>1212</v>
      </c>
      <c r="F410"/>
      <c r="G410"/>
      <c r="H410"/>
      <c r="J410" s="26"/>
      <c r="K410" s="26"/>
      <c r="L410" s="26"/>
      <c r="M410" s="26"/>
      <c r="O410" s="26"/>
      <c r="P410" s="26"/>
      <c r="Q410" s="26"/>
      <c r="R410" s="26"/>
    </row>
    <row r="411" spans="2:18" ht="16.5" x14ac:dyDescent="0.3">
      <c r="B411" s="343" t="s">
        <v>1209</v>
      </c>
      <c r="C411" s="344" t="s">
        <v>1213</v>
      </c>
      <c r="D411" s="345" t="s">
        <v>1214</v>
      </c>
      <c r="F411"/>
      <c r="G411"/>
      <c r="H411"/>
      <c r="J411" s="26"/>
      <c r="K411" s="26"/>
      <c r="L411" s="26"/>
      <c r="M411" s="26"/>
      <c r="O411" s="26"/>
      <c r="P411" s="26"/>
      <c r="Q411" s="26"/>
      <c r="R411" s="26"/>
    </row>
    <row r="412" spans="2:18" ht="16.5" x14ac:dyDescent="0.3">
      <c r="B412" s="343" t="s">
        <v>1209</v>
      </c>
      <c r="C412" s="344" t="s">
        <v>1213</v>
      </c>
      <c r="D412" s="345" t="s">
        <v>1215</v>
      </c>
      <c r="F412"/>
      <c r="G412"/>
      <c r="H412"/>
      <c r="J412" s="26"/>
      <c r="K412" s="26"/>
      <c r="L412" s="26"/>
      <c r="M412" s="26"/>
      <c r="O412" s="26"/>
      <c r="P412" s="26"/>
      <c r="Q412" s="26"/>
      <c r="R412" s="26"/>
    </row>
    <row r="413" spans="2:18" ht="16.5" x14ac:dyDescent="0.3">
      <c r="B413" s="343" t="s">
        <v>1209</v>
      </c>
      <c r="C413" s="344" t="s">
        <v>1213</v>
      </c>
      <c r="D413" s="345" t="s">
        <v>1216</v>
      </c>
      <c r="F413"/>
      <c r="G413"/>
      <c r="H413"/>
      <c r="J413" s="26"/>
      <c r="K413" s="26"/>
      <c r="L413" s="26"/>
      <c r="M413" s="26"/>
      <c r="O413" s="26"/>
      <c r="P413" s="26"/>
      <c r="Q413" s="26"/>
      <c r="R413" s="26"/>
    </row>
    <row r="414" spans="2:18" ht="16.5" x14ac:dyDescent="0.3">
      <c r="B414" s="343" t="s">
        <v>1209</v>
      </c>
      <c r="C414" s="344" t="s">
        <v>1217</v>
      </c>
      <c r="D414" s="345" t="s">
        <v>1218</v>
      </c>
      <c r="F414"/>
      <c r="G414"/>
      <c r="H414"/>
      <c r="J414" s="26"/>
      <c r="K414" s="26"/>
      <c r="L414" s="26"/>
      <c r="M414" s="26"/>
      <c r="O414" s="26"/>
      <c r="P414" s="26"/>
      <c r="Q414" s="26"/>
      <c r="R414" s="26"/>
    </row>
    <row r="415" spans="2:18" ht="16.5" x14ac:dyDescent="0.3">
      <c r="B415" s="343" t="s">
        <v>1209</v>
      </c>
      <c r="C415" s="344" t="s">
        <v>1217</v>
      </c>
      <c r="D415" s="345" t="s">
        <v>1219</v>
      </c>
      <c r="F415"/>
      <c r="G415"/>
      <c r="H415"/>
      <c r="J415" s="26"/>
      <c r="K415" s="26"/>
      <c r="L415" s="26"/>
      <c r="M415" s="26"/>
      <c r="O415" s="26"/>
      <c r="P415" s="26"/>
      <c r="Q415" s="26"/>
      <c r="R415" s="26"/>
    </row>
    <row r="416" spans="2:18" ht="16.5" x14ac:dyDescent="0.3">
      <c r="B416" s="343" t="s">
        <v>1209</v>
      </c>
      <c r="C416" s="344" t="s">
        <v>1217</v>
      </c>
      <c r="D416" s="345" t="s">
        <v>1220</v>
      </c>
      <c r="F416"/>
      <c r="G416"/>
      <c r="H416"/>
      <c r="J416" s="26"/>
      <c r="K416" s="26"/>
      <c r="L416" s="26"/>
      <c r="M416" s="26"/>
      <c r="O416" s="26"/>
      <c r="P416" s="26"/>
      <c r="Q416" s="26"/>
      <c r="R416" s="26"/>
    </row>
    <row r="417" spans="2:18" ht="16.5" x14ac:dyDescent="0.3">
      <c r="B417" s="343" t="s">
        <v>24</v>
      </c>
      <c r="C417" s="344" t="s">
        <v>582</v>
      </c>
      <c r="D417" s="345" t="s">
        <v>583</v>
      </c>
      <c r="F417"/>
      <c r="G417"/>
      <c r="H417"/>
      <c r="J417" s="26"/>
      <c r="K417" s="26"/>
      <c r="L417" s="26"/>
      <c r="M417" s="26"/>
      <c r="O417" s="26"/>
      <c r="P417" s="26"/>
      <c r="Q417" s="26"/>
      <c r="R417" s="26"/>
    </row>
    <row r="418" spans="2:18" ht="16.5" x14ac:dyDescent="0.3">
      <c r="B418" s="343" t="s">
        <v>24</v>
      </c>
      <c r="C418" s="344" t="s">
        <v>507</v>
      </c>
      <c r="D418" s="345" t="s">
        <v>186</v>
      </c>
      <c r="F418"/>
      <c r="G418"/>
      <c r="H418"/>
      <c r="J418" s="26"/>
      <c r="K418" s="26"/>
      <c r="L418" s="26"/>
      <c r="M418" s="26"/>
      <c r="O418" s="26"/>
      <c r="P418" s="26"/>
      <c r="Q418" s="26"/>
      <c r="R418" s="26"/>
    </row>
    <row r="419" spans="2:18" ht="16.5" x14ac:dyDescent="0.3">
      <c r="B419" s="343" t="s">
        <v>24</v>
      </c>
      <c r="C419" s="344" t="s">
        <v>584</v>
      </c>
      <c r="D419" s="345" t="s">
        <v>585</v>
      </c>
      <c r="F419"/>
      <c r="G419"/>
      <c r="H419"/>
      <c r="J419" s="26"/>
      <c r="K419" s="26"/>
      <c r="L419" s="26"/>
      <c r="M419" s="26"/>
      <c r="O419" s="26"/>
      <c r="P419" s="26"/>
      <c r="Q419" s="26"/>
      <c r="R419" s="26"/>
    </row>
    <row r="420" spans="2:18" ht="16.5" x14ac:dyDescent="0.3">
      <c r="B420" s="343" t="s">
        <v>24</v>
      </c>
      <c r="C420" s="344" t="s">
        <v>586</v>
      </c>
      <c r="D420" s="345" t="s">
        <v>183</v>
      </c>
      <c r="F420"/>
      <c r="G420"/>
      <c r="H420"/>
      <c r="J420" s="26"/>
      <c r="K420" s="26"/>
      <c r="L420" s="26"/>
      <c r="M420" s="26"/>
      <c r="O420" s="26"/>
      <c r="P420" s="26"/>
      <c r="Q420" s="26"/>
      <c r="R420" s="26"/>
    </row>
    <row r="421" spans="2:18" ht="16.5" x14ac:dyDescent="0.3">
      <c r="B421" s="343" t="s">
        <v>24</v>
      </c>
      <c r="C421" s="344" t="s">
        <v>584</v>
      </c>
      <c r="D421" s="345" t="s">
        <v>191</v>
      </c>
      <c r="F421"/>
      <c r="G421"/>
      <c r="H421"/>
      <c r="J421" s="26"/>
      <c r="K421" s="26"/>
      <c r="L421" s="26"/>
      <c r="M421" s="26"/>
      <c r="O421" s="26"/>
      <c r="P421" s="26"/>
      <c r="Q421" s="26"/>
      <c r="R421" s="26"/>
    </row>
    <row r="422" spans="2:18" ht="16.5" x14ac:dyDescent="0.3">
      <c r="B422" s="343" t="s">
        <v>24</v>
      </c>
      <c r="C422" s="344" t="s">
        <v>582</v>
      </c>
      <c r="D422" s="345" t="s">
        <v>180</v>
      </c>
      <c r="F422"/>
      <c r="G422"/>
      <c r="H422"/>
      <c r="J422" s="26"/>
      <c r="K422" s="26"/>
      <c r="L422" s="26"/>
      <c r="M422" s="26"/>
      <c r="O422" s="26"/>
      <c r="P422" s="26"/>
      <c r="Q422" s="26"/>
      <c r="R422" s="26"/>
    </row>
    <row r="423" spans="2:18" ht="16.5" x14ac:dyDescent="0.3">
      <c r="B423" s="343" t="s">
        <v>24</v>
      </c>
      <c r="C423" s="344" t="s">
        <v>587</v>
      </c>
      <c r="D423" s="345" t="s">
        <v>588</v>
      </c>
      <c r="F423"/>
      <c r="G423"/>
      <c r="H423"/>
      <c r="J423" s="26"/>
      <c r="K423" s="26"/>
      <c r="L423" s="26"/>
      <c r="M423" s="26"/>
      <c r="O423" s="26"/>
      <c r="P423" s="26"/>
      <c r="Q423" s="26"/>
      <c r="R423" s="26"/>
    </row>
    <row r="424" spans="2:18" ht="16.5" x14ac:dyDescent="0.3">
      <c r="B424" s="343" t="s">
        <v>24</v>
      </c>
      <c r="C424" s="344" t="s">
        <v>589</v>
      </c>
      <c r="D424" s="345" t="s">
        <v>590</v>
      </c>
      <c r="F424"/>
      <c r="G424"/>
      <c r="H424"/>
      <c r="J424" s="26"/>
      <c r="K424" s="26"/>
      <c r="L424" s="26"/>
      <c r="M424" s="26"/>
      <c r="O424" s="26"/>
      <c r="P424" s="26"/>
      <c r="Q424" s="26"/>
      <c r="R424" s="26"/>
    </row>
    <row r="425" spans="2:18" ht="16.5" x14ac:dyDescent="0.3">
      <c r="B425" s="343" t="s">
        <v>24</v>
      </c>
      <c r="C425" s="344" t="s">
        <v>591</v>
      </c>
      <c r="D425" s="345" t="s">
        <v>592</v>
      </c>
      <c r="F425"/>
      <c r="G425"/>
      <c r="H425"/>
      <c r="J425" s="26"/>
      <c r="K425" s="26"/>
      <c r="L425" s="26"/>
      <c r="M425" s="26"/>
      <c r="O425" s="26"/>
      <c r="P425" s="26"/>
      <c r="Q425" s="26"/>
      <c r="R425" s="26"/>
    </row>
    <row r="426" spans="2:18" ht="16.5" x14ac:dyDescent="0.3">
      <c r="B426" s="343" t="s">
        <v>24</v>
      </c>
      <c r="C426" s="344" t="s">
        <v>584</v>
      </c>
      <c r="D426" s="345" t="s">
        <v>190</v>
      </c>
      <c r="F426"/>
      <c r="G426"/>
      <c r="H426"/>
      <c r="J426" s="26"/>
      <c r="K426" s="26"/>
      <c r="L426" s="26"/>
      <c r="M426" s="26"/>
      <c r="O426" s="26"/>
      <c r="P426" s="26"/>
      <c r="Q426" s="26"/>
      <c r="R426" s="26"/>
    </row>
    <row r="427" spans="2:18" ht="16.5" x14ac:dyDescent="0.3">
      <c r="B427" s="343" t="s">
        <v>24</v>
      </c>
      <c r="C427" s="344" t="s">
        <v>593</v>
      </c>
      <c r="D427" s="345" t="s">
        <v>185</v>
      </c>
      <c r="F427"/>
      <c r="G427"/>
      <c r="H427"/>
      <c r="J427" s="26"/>
      <c r="K427" s="26"/>
      <c r="L427" s="26"/>
      <c r="M427" s="26"/>
      <c r="O427" s="26"/>
      <c r="P427" s="26"/>
      <c r="Q427" s="26"/>
      <c r="R427" s="26"/>
    </row>
    <row r="428" spans="2:18" ht="16.5" x14ac:dyDescent="0.3">
      <c r="B428" s="343" t="s">
        <v>24</v>
      </c>
      <c r="C428" s="344" t="s">
        <v>507</v>
      </c>
      <c r="D428" s="345" t="s">
        <v>187</v>
      </c>
      <c r="F428"/>
      <c r="G428"/>
      <c r="H428"/>
      <c r="J428" s="26"/>
      <c r="K428" s="26"/>
      <c r="L428" s="26"/>
      <c r="M428" s="26"/>
      <c r="O428" s="26"/>
      <c r="P428" s="26"/>
      <c r="Q428" s="26"/>
      <c r="R428" s="26"/>
    </row>
    <row r="429" spans="2:18" ht="16.5" x14ac:dyDescent="0.3">
      <c r="B429" s="343" t="s">
        <v>24</v>
      </c>
      <c r="C429" s="344" t="s">
        <v>582</v>
      </c>
      <c r="D429" s="345" t="s">
        <v>594</v>
      </c>
      <c r="F429"/>
      <c r="G429"/>
      <c r="H429"/>
      <c r="J429" s="26"/>
      <c r="K429" s="26"/>
      <c r="L429" s="26"/>
      <c r="M429" s="26"/>
      <c r="O429" s="26"/>
      <c r="P429" s="26"/>
      <c r="Q429" s="26"/>
      <c r="R429" s="26"/>
    </row>
    <row r="430" spans="2:18" ht="16.5" x14ac:dyDescent="0.3">
      <c r="B430" s="343" t="s">
        <v>24</v>
      </c>
      <c r="C430" s="344" t="s">
        <v>587</v>
      </c>
      <c r="D430" s="345" t="s">
        <v>202</v>
      </c>
      <c r="F430"/>
      <c r="G430"/>
      <c r="H430"/>
      <c r="J430" s="26"/>
      <c r="K430" s="26"/>
      <c r="L430" s="26"/>
      <c r="M430" s="26"/>
      <c r="O430" s="26"/>
      <c r="P430" s="26"/>
      <c r="Q430" s="26"/>
      <c r="R430" s="26"/>
    </row>
    <row r="431" spans="2:18" ht="16.5" x14ac:dyDescent="0.3">
      <c r="B431" s="343" t="s">
        <v>24</v>
      </c>
      <c r="C431" s="344" t="s">
        <v>582</v>
      </c>
      <c r="D431" s="345" t="s">
        <v>595</v>
      </c>
      <c r="F431"/>
      <c r="G431"/>
      <c r="H431"/>
      <c r="J431" s="26"/>
      <c r="K431" s="26"/>
      <c r="L431" s="26"/>
      <c r="M431" s="26"/>
      <c r="O431" s="26"/>
      <c r="P431" s="26"/>
      <c r="Q431" s="26"/>
      <c r="R431" s="26"/>
    </row>
    <row r="432" spans="2:18" ht="16.5" x14ac:dyDescent="0.3">
      <c r="B432" s="343" t="s">
        <v>24</v>
      </c>
      <c r="C432" s="344" t="s">
        <v>587</v>
      </c>
      <c r="D432" s="345" t="s">
        <v>596</v>
      </c>
      <c r="F432"/>
      <c r="G432"/>
      <c r="H432"/>
      <c r="J432" s="26"/>
      <c r="K432" s="26"/>
      <c r="L432" s="26"/>
      <c r="M432" s="26"/>
      <c r="O432" s="26"/>
      <c r="P432" s="26"/>
      <c r="Q432" s="26"/>
      <c r="R432" s="26"/>
    </row>
    <row r="433" spans="2:18" ht="16.5" x14ac:dyDescent="0.3">
      <c r="B433" s="343" t="s">
        <v>24</v>
      </c>
      <c r="C433" s="344" t="s">
        <v>582</v>
      </c>
      <c r="D433" s="345" t="s">
        <v>178</v>
      </c>
      <c r="F433"/>
      <c r="G433"/>
      <c r="H433"/>
      <c r="J433" s="26"/>
      <c r="K433" s="26"/>
      <c r="L433" s="26"/>
      <c r="M433" s="26"/>
      <c r="O433" s="26"/>
      <c r="P433" s="26"/>
      <c r="Q433" s="26"/>
      <c r="R433" s="26"/>
    </row>
    <row r="434" spans="2:18" ht="20.45" customHeight="1" x14ac:dyDescent="0.3">
      <c r="B434" s="343" t="s">
        <v>24</v>
      </c>
      <c r="C434" s="344" t="s">
        <v>597</v>
      </c>
      <c r="D434" s="345" t="s">
        <v>184</v>
      </c>
      <c r="F434"/>
      <c r="G434"/>
      <c r="H434"/>
      <c r="J434" s="26"/>
      <c r="K434" s="26"/>
      <c r="L434" s="26"/>
      <c r="M434" s="26"/>
      <c r="O434" s="26"/>
      <c r="P434" s="26"/>
      <c r="Q434" s="26"/>
      <c r="R434" s="26"/>
    </row>
    <row r="435" spans="2:18" ht="20.45" customHeight="1" x14ac:dyDescent="0.3">
      <c r="B435" s="343" t="s">
        <v>24</v>
      </c>
      <c r="C435" s="344" t="s">
        <v>584</v>
      </c>
      <c r="D435" s="345" t="s">
        <v>188</v>
      </c>
      <c r="F435"/>
      <c r="G435"/>
      <c r="H435"/>
      <c r="J435" s="26"/>
      <c r="K435" s="26"/>
      <c r="L435" s="26"/>
      <c r="M435" s="26"/>
      <c r="O435" s="26"/>
      <c r="P435" s="26"/>
      <c r="Q435" s="26"/>
      <c r="R435" s="26"/>
    </row>
    <row r="436" spans="2:18" ht="20.45" customHeight="1" x14ac:dyDescent="0.3">
      <c r="B436" s="343" t="s">
        <v>24</v>
      </c>
      <c r="C436" s="344" t="s">
        <v>582</v>
      </c>
      <c r="D436" s="345" t="s">
        <v>176</v>
      </c>
      <c r="F436"/>
      <c r="G436"/>
      <c r="H436"/>
      <c r="J436" s="26"/>
      <c r="K436" s="26"/>
      <c r="L436" s="26"/>
      <c r="M436" s="26"/>
      <c r="O436" s="26"/>
      <c r="P436" s="26"/>
      <c r="Q436" s="26"/>
      <c r="R436" s="26"/>
    </row>
    <row r="437" spans="2:18" ht="20.45" customHeight="1" x14ac:dyDescent="0.3">
      <c r="B437" s="343" t="s">
        <v>24</v>
      </c>
      <c r="C437" s="344" t="s">
        <v>584</v>
      </c>
      <c r="D437" s="345" t="s">
        <v>189</v>
      </c>
      <c r="F437"/>
      <c r="G437"/>
      <c r="H437"/>
      <c r="J437" s="26"/>
      <c r="K437" s="26"/>
      <c r="L437" s="26"/>
      <c r="M437" s="26"/>
      <c r="O437" s="26"/>
      <c r="P437" s="26"/>
      <c r="Q437" s="26"/>
      <c r="R437" s="26"/>
    </row>
    <row r="438" spans="2:18" ht="20.45" customHeight="1" x14ac:dyDescent="0.3">
      <c r="B438" s="343" t="s">
        <v>24</v>
      </c>
      <c r="C438" s="344" t="s">
        <v>587</v>
      </c>
      <c r="D438" s="345" t="s">
        <v>181</v>
      </c>
      <c r="F438"/>
      <c r="G438"/>
      <c r="H438"/>
      <c r="J438" s="26"/>
      <c r="K438" s="26"/>
      <c r="L438" s="26"/>
      <c r="M438" s="26"/>
      <c r="O438" s="26"/>
      <c r="P438" s="26"/>
      <c r="Q438" s="26"/>
      <c r="R438" s="26"/>
    </row>
    <row r="439" spans="2:18" ht="20.45" customHeight="1" x14ac:dyDescent="0.3">
      <c r="B439" s="343" t="s">
        <v>24</v>
      </c>
      <c r="C439" s="344" t="s">
        <v>582</v>
      </c>
      <c r="D439" s="345" t="s">
        <v>598</v>
      </c>
      <c r="F439"/>
      <c r="G439"/>
      <c r="H439"/>
      <c r="J439" s="26"/>
      <c r="K439" s="26"/>
      <c r="L439" s="26"/>
      <c r="M439" s="26"/>
      <c r="O439" s="26"/>
      <c r="P439" s="26"/>
      <c r="Q439" s="26"/>
      <c r="R439" s="26"/>
    </row>
    <row r="440" spans="2:18" ht="20.45" customHeight="1" x14ac:dyDescent="0.3">
      <c r="B440" s="343" t="s">
        <v>24</v>
      </c>
      <c r="C440" s="344" t="s">
        <v>591</v>
      </c>
      <c r="D440" s="345" t="s">
        <v>599</v>
      </c>
      <c r="F440"/>
      <c r="G440"/>
      <c r="H440"/>
      <c r="J440" s="26"/>
      <c r="K440" s="26"/>
      <c r="L440" s="26"/>
      <c r="M440" s="26"/>
      <c r="O440" s="26"/>
      <c r="P440" s="26"/>
      <c r="Q440" s="26"/>
      <c r="R440" s="26"/>
    </row>
    <row r="441" spans="2:18" ht="20.45" customHeight="1" x14ac:dyDescent="0.3">
      <c r="B441" s="343" t="s">
        <v>24</v>
      </c>
      <c r="C441" s="344" t="s">
        <v>587</v>
      </c>
      <c r="D441" s="345" t="s">
        <v>600</v>
      </c>
      <c r="F441"/>
      <c r="G441"/>
      <c r="H441"/>
      <c r="J441" s="26"/>
      <c r="K441" s="26"/>
      <c r="L441" s="26"/>
      <c r="M441" s="26"/>
      <c r="O441" s="26"/>
      <c r="P441" s="26"/>
      <c r="Q441" s="26"/>
      <c r="R441" s="26"/>
    </row>
    <row r="442" spans="2:18" ht="20.45" customHeight="1" x14ac:dyDescent="0.3">
      <c r="B442" s="343" t="s">
        <v>24</v>
      </c>
      <c r="C442" s="344" t="s">
        <v>591</v>
      </c>
      <c r="D442" s="345" t="s">
        <v>601</v>
      </c>
      <c r="F442"/>
      <c r="G442"/>
      <c r="H442"/>
      <c r="J442" s="26"/>
      <c r="K442" s="26"/>
      <c r="L442" s="26"/>
      <c r="M442" s="26"/>
      <c r="O442" s="26"/>
      <c r="P442" s="26"/>
      <c r="Q442" s="26"/>
      <c r="R442" s="26"/>
    </row>
    <row r="443" spans="2:18" ht="20.45" customHeight="1" x14ac:dyDescent="0.3">
      <c r="B443" s="343" t="s">
        <v>24</v>
      </c>
      <c r="C443" s="344" t="s">
        <v>589</v>
      </c>
      <c r="D443" s="345" t="s">
        <v>602</v>
      </c>
      <c r="F443"/>
      <c r="G443"/>
      <c r="H443"/>
      <c r="J443" s="26"/>
      <c r="K443" s="26"/>
      <c r="L443" s="26"/>
      <c r="M443" s="26"/>
      <c r="O443" s="26"/>
      <c r="P443" s="26"/>
      <c r="Q443" s="26"/>
      <c r="R443" s="26"/>
    </row>
    <row r="444" spans="2:18" ht="20.45" customHeight="1" x14ac:dyDescent="0.3">
      <c r="B444" s="343" t="s">
        <v>24</v>
      </c>
      <c r="C444" s="344" t="s">
        <v>587</v>
      </c>
      <c r="D444" s="345" t="s">
        <v>603</v>
      </c>
      <c r="F444"/>
      <c r="G444"/>
      <c r="H444"/>
      <c r="J444" s="26"/>
      <c r="K444" s="26"/>
      <c r="L444" s="26"/>
      <c r="M444" s="26"/>
      <c r="O444" s="26"/>
      <c r="P444" s="26"/>
      <c r="Q444" s="26"/>
      <c r="R444" s="26"/>
    </row>
    <row r="445" spans="2:18" ht="20.45" customHeight="1" x14ac:dyDescent="0.3">
      <c r="B445" s="343" t="s">
        <v>24</v>
      </c>
      <c r="C445" s="344" t="s">
        <v>589</v>
      </c>
      <c r="D445" s="345" t="s">
        <v>604</v>
      </c>
      <c r="F445"/>
      <c r="G445"/>
      <c r="H445"/>
      <c r="J445" s="26"/>
      <c r="K445" s="26"/>
      <c r="L445" s="26"/>
      <c r="M445" s="26"/>
      <c r="O445" s="26"/>
      <c r="P445" s="26"/>
      <c r="Q445" s="26"/>
      <c r="R445" s="26"/>
    </row>
    <row r="446" spans="2:18" ht="20.45" customHeight="1" x14ac:dyDescent="0.3">
      <c r="B446" s="343" t="s">
        <v>24</v>
      </c>
      <c r="C446" s="344" t="s">
        <v>582</v>
      </c>
      <c r="D446" s="345" t="s">
        <v>177</v>
      </c>
      <c r="F446"/>
      <c r="G446"/>
      <c r="H446"/>
      <c r="J446" s="26"/>
      <c r="K446" s="26"/>
      <c r="L446" s="26"/>
      <c r="M446" s="26"/>
      <c r="O446" s="26"/>
      <c r="P446" s="26"/>
      <c r="Q446" s="26"/>
      <c r="R446" s="26"/>
    </row>
    <row r="447" spans="2:18" ht="20.45" customHeight="1" x14ac:dyDescent="0.3">
      <c r="B447" s="343" t="s">
        <v>24</v>
      </c>
      <c r="C447" s="344" t="s">
        <v>584</v>
      </c>
      <c r="D447" s="345" t="s">
        <v>605</v>
      </c>
      <c r="F447"/>
      <c r="G447"/>
      <c r="H447"/>
      <c r="J447" s="26"/>
      <c r="K447" s="26"/>
      <c r="L447" s="26"/>
      <c r="M447" s="26"/>
      <c r="O447" s="26"/>
      <c r="P447" s="26"/>
      <c r="Q447" s="26"/>
      <c r="R447" s="26"/>
    </row>
    <row r="448" spans="2:18" ht="20.45" customHeight="1" x14ac:dyDescent="0.3">
      <c r="B448" s="343" t="s">
        <v>24</v>
      </c>
      <c r="C448" s="344" t="s">
        <v>586</v>
      </c>
      <c r="D448" s="345" t="s">
        <v>182</v>
      </c>
      <c r="F448"/>
      <c r="G448"/>
      <c r="H448"/>
      <c r="J448" s="26"/>
      <c r="K448" s="26"/>
      <c r="L448" s="26"/>
      <c r="M448" s="26"/>
      <c r="O448" s="26"/>
      <c r="P448" s="26"/>
      <c r="Q448" s="26"/>
      <c r="R448" s="26"/>
    </row>
    <row r="449" spans="2:18" ht="20.45" customHeight="1" x14ac:dyDescent="0.3">
      <c r="B449" s="343" t="s">
        <v>24</v>
      </c>
      <c r="C449" s="344" t="s">
        <v>507</v>
      </c>
      <c r="D449" s="345" t="s">
        <v>606</v>
      </c>
      <c r="F449"/>
      <c r="G449"/>
      <c r="H449"/>
      <c r="J449" s="26"/>
      <c r="K449" s="26"/>
      <c r="L449" s="26"/>
      <c r="M449" s="26"/>
      <c r="O449" s="26"/>
      <c r="P449" s="26"/>
      <c r="Q449" s="26"/>
      <c r="R449" s="26"/>
    </row>
    <row r="450" spans="2:18" ht="20.45" customHeight="1" x14ac:dyDescent="0.3">
      <c r="B450" s="343" t="s">
        <v>24</v>
      </c>
      <c r="C450" s="344" t="s">
        <v>586</v>
      </c>
      <c r="D450" s="345" t="s">
        <v>607</v>
      </c>
      <c r="F450"/>
      <c r="G450"/>
      <c r="H450"/>
      <c r="J450" s="26"/>
      <c r="K450" s="26"/>
      <c r="L450" s="26"/>
      <c r="M450" s="26"/>
      <c r="O450" s="26"/>
      <c r="P450" s="26"/>
      <c r="Q450" s="26"/>
      <c r="R450" s="26"/>
    </row>
    <row r="451" spans="2:18" ht="20.45" customHeight="1" x14ac:dyDescent="0.3">
      <c r="B451" s="343" t="s">
        <v>24</v>
      </c>
      <c r="C451" s="344" t="s">
        <v>582</v>
      </c>
      <c r="D451" s="345" t="s">
        <v>608</v>
      </c>
      <c r="F451"/>
      <c r="G451"/>
      <c r="H451"/>
      <c r="J451" s="26"/>
      <c r="K451" s="26"/>
      <c r="L451" s="26"/>
      <c r="M451" s="26"/>
      <c r="O451" s="26"/>
      <c r="P451" s="26"/>
      <c r="Q451" s="26"/>
      <c r="R451" s="26"/>
    </row>
    <row r="452" spans="2:18" ht="20.45" customHeight="1" x14ac:dyDescent="0.3">
      <c r="B452" s="343" t="s">
        <v>24</v>
      </c>
      <c r="C452" s="344" t="s">
        <v>582</v>
      </c>
      <c r="D452" s="345" t="s">
        <v>609</v>
      </c>
      <c r="F452"/>
      <c r="G452"/>
      <c r="H452"/>
      <c r="J452" s="26"/>
      <c r="K452" s="26"/>
      <c r="L452" s="26"/>
      <c r="M452" s="26"/>
      <c r="O452" s="26"/>
      <c r="P452" s="26"/>
      <c r="Q452" s="26"/>
      <c r="R452" s="26"/>
    </row>
    <row r="453" spans="2:18" ht="20.45" customHeight="1" x14ac:dyDescent="0.3">
      <c r="B453" s="343" t="s">
        <v>24</v>
      </c>
      <c r="C453" s="344" t="s">
        <v>582</v>
      </c>
      <c r="D453" s="345" t="s">
        <v>610</v>
      </c>
      <c r="F453"/>
      <c r="G453"/>
      <c r="H453"/>
      <c r="J453" s="26"/>
      <c r="K453" s="26"/>
      <c r="L453" s="26"/>
      <c r="M453" s="26"/>
      <c r="O453" s="26"/>
      <c r="P453" s="26"/>
      <c r="Q453" s="26"/>
      <c r="R453" s="26"/>
    </row>
    <row r="454" spans="2:18" ht="20.45" customHeight="1" x14ac:dyDescent="0.3">
      <c r="B454" s="343" t="s">
        <v>24</v>
      </c>
      <c r="C454" s="344" t="s">
        <v>582</v>
      </c>
      <c r="D454" s="345" t="s">
        <v>611</v>
      </c>
      <c r="F454"/>
      <c r="G454"/>
      <c r="H454"/>
      <c r="J454" s="26"/>
      <c r="K454" s="26"/>
      <c r="L454" s="26"/>
      <c r="M454" s="26"/>
      <c r="O454" s="26"/>
      <c r="P454" s="26"/>
      <c r="Q454" s="26"/>
      <c r="R454" s="26"/>
    </row>
    <row r="455" spans="2:18" ht="20.45" customHeight="1" x14ac:dyDescent="0.3">
      <c r="B455" s="343" t="s">
        <v>24</v>
      </c>
      <c r="C455" s="344" t="s">
        <v>586</v>
      </c>
      <c r="D455" s="345" t="s">
        <v>612</v>
      </c>
      <c r="F455"/>
      <c r="G455"/>
      <c r="H455"/>
      <c r="J455" s="26"/>
      <c r="K455" s="26"/>
      <c r="L455" s="26"/>
      <c r="M455" s="26"/>
      <c r="O455" s="26"/>
      <c r="P455" s="26"/>
      <c r="Q455" s="26"/>
      <c r="R455" s="26"/>
    </row>
    <row r="456" spans="2:18" ht="20.45" customHeight="1" x14ac:dyDescent="0.3">
      <c r="B456" s="343" t="s">
        <v>24</v>
      </c>
      <c r="C456" s="344" t="s">
        <v>597</v>
      </c>
      <c r="D456" s="345" t="s">
        <v>613</v>
      </c>
      <c r="F456"/>
      <c r="G456"/>
      <c r="H456"/>
      <c r="J456" s="26"/>
      <c r="K456" s="26"/>
      <c r="L456" s="26"/>
      <c r="M456" s="26"/>
      <c r="O456" s="26"/>
      <c r="P456" s="26"/>
      <c r="Q456" s="26"/>
      <c r="R456" s="26"/>
    </row>
    <row r="457" spans="2:18" ht="20.45" customHeight="1" x14ac:dyDescent="0.3">
      <c r="B457" s="343" t="s">
        <v>24</v>
      </c>
      <c r="C457" s="344" t="s">
        <v>587</v>
      </c>
      <c r="D457" s="345" t="s">
        <v>614</v>
      </c>
      <c r="F457"/>
      <c r="G457"/>
      <c r="H457"/>
      <c r="J457" s="26"/>
      <c r="K457" s="26"/>
      <c r="L457" s="26"/>
      <c r="M457" s="26"/>
      <c r="O457" s="26"/>
      <c r="P457" s="26"/>
      <c r="Q457" s="26"/>
      <c r="R457" s="26"/>
    </row>
    <row r="458" spans="2:18" ht="20.45" customHeight="1" x14ac:dyDescent="0.3">
      <c r="B458" s="343" t="s">
        <v>24</v>
      </c>
      <c r="C458" s="344" t="s">
        <v>587</v>
      </c>
      <c r="D458" s="345" t="s">
        <v>615</v>
      </c>
      <c r="F458"/>
      <c r="G458"/>
      <c r="H458"/>
      <c r="J458" s="26"/>
      <c r="K458" s="26"/>
      <c r="L458" s="26"/>
      <c r="M458" s="26"/>
      <c r="O458" s="26"/>
      <c r="P458" s="26"/>
      <c r="Q458" s="26"/>
      <c r="R458" s="26"/>
    </row>
    <row r="459" spans="2:18" ht="20.45" customHeight="1" x14ac:dyDescent="0.3">
      <c r="B459" s="343" t="s">
        <v>24</v>
      </c>
      <c r="C459" s="344" t="s">
        <v>582</v>
      </c>
      <c r="D459" s="345" t="s">
        <v>179</v>
      </c>
      <c r="F459"/>
      <c r="G459"/>
      <c r="H459"/>
      <c r="J459" s="26"/>
      <c r="K459" s="26"/>
      <c r="L459" s="26"/>
      <c r="M459" s="26"/>
      <c r="O459" s="26"/>
      <c r="P459" s="26"/>
      <c r="Q459" s="26"/>
      <c r="R459" s="26"/>
    </row>
    <row r="460" spans="2:18" ht="20.45" customHeight="1" x14ac:dyDescent="0.3">
      <c r="B460" s="343" t="s">
        <v>24</v>
      </c>
      <c r="C460" s="344" t="s">
        <v>584</v>
      </c>
      <c r="D460" s="345" t="s">
        <v>616</v>
      </c>
      <c r="F460"/>
      <c r="G460"/>
      <c r="H460"/>
      <c r="J460" s="26"/>
      <c r="K460" s="26"/>
      <c r="L460" s="26"/>
      <c r="M460" s="26"/>
      <c r="O460" s="26"/>
      <c r="P460" s="26"/>
      <c r="Q460" s="26"/>
      <c r="R460" s="26"/>
    </row>
    <row r="461" spans="2:18" ht="20.45" customHeight="1" x14ac:dyDescent="0.3">
      <c r="B461" s="343" t="s">
        <v>24</v>
      </c>
      <c r="C461" s="344" t="s">
        <v>582</v>
      </c>
      <c r="D461" s="345" t="s">
        <v>617</v>
      </c>
      <c r="F461"/>
      <c r="G461"/>
      <c r="H461"/>
      <c r="J461" s="26"/>
      <c r="K461" s="26"/>
      <c r="L461" s="26"/>
      <c r="M461" s="26"/>
      <c r="O461" s="26"/>
      <c r="P461" s="26"/>
      <c r="Q461" s="26"/>
      <c r="R461" s="26"/>
    </row>
    <row r="462" spans="2:18" ht="20.45" customHeight="1" x14ac:dyDescent="0.3">
      <c r="B462" s="343" t="s">
        <v>24</v>
      </c>
      <c r="C462" s="344" t="s">
        <v>582</v>
      </c>
      <c r="D462" s="345" t="s">
        <v>618</v>
      </c>
      <c r="F462"/>
      <c r="G462"/>
      <c r="H462"/>
      <c r="J462" s="26"/>
      <c r="K462" s="26"/>
      <c r="L462" s="26"/>
      <c r="M462" s="26"/>
      <c r="O462" s="26"/>
      <c r="P462" s="26"/>
      <c r="Q462" s="26"/>
      <c r="R462" s="26"/>
    </row>
    <row r="463" spans="2:18" ht="20.45" customHeight="1" x14ac:dyDescent="0.3">
      <c r="B463" s="343" t="s">
        <v>24</v>
      </c>
      <c r="C463" s="344" t="s">
        <v>582</v>
      </c>
      <c r="D463" s="345" t="s">
        <v>619</v>
      </c>
      <c r="F463"/>
      <c r="G463"/>
      <c r="H463"/>
      <c r="J463" s="26"/>
      <c r="K463" s="26"/>
      <c r="L463" s="26"/>
      <c r="M463" s="26"/>
      <c r="O463" s="26"/>
      <c r="P463" s="26"/>
      <c r="Q463" s="26"/>
      <c r="R463" s="26"/>
    </row>
    <row r="464" spans="2:18" ht="20.45" customHeight="1" x14ac:dyDescent="0.3">
      <c r="B464" s="343" t="s">
        <v>24</v>
      </c>
      <c r="C464" s="344" t="s">
        <v>584</v>
      </c>
      <c r="D464" s="345" t="s">
        <v>620</v>
      </c>
      <c r="F464"/>
      <c r="G464"/>
      <c r="H464"/>
      <c r="J464" s="26"/>
      <c r="K464" s="26"/>
      <c r="L464" s="26"/>
      <c r="M464" s="26"/>
      <c r="O464" s="26"/>
      <c r="P464" s="26"/>
      <c r="Q464" s="26"/>
      <c r="R464" s="26"/>
    </row>
    <row r="465" spans="2:18" ht="20.45" customHeight="1" x14ac:dyDescent="0.3">
      <c r="B465" s="343" t="s">
        <v>24</v>
      </c>
      <c r="C465" s="344" t="s">
        <v>582</v>
      </c>
      <c r="D465" s="345" t="s">
        <v>621</v>
      </c>
      <c r="F465"/>
      <c r="G465"/>
      <c r="H465"/>
      <c r="J465" s="26"/>
      <c r="K465" s="26"/>
      <c r="L465" s="26"/>
      <c r="M465" s="26"/>
      <c r="O465" s="26"/>
      <c r="P465" s="26"/>
      <c r="Q465" s="26"/>
      <c r="R465" s="26"/>
    </row>
    <row r="466" spans="2:18" ht="20.45" customHeight="1" x14ac:dyDescent="0.3">
      <c r="B466" s="343" t="s">
        <v>24</v>
      </c>
      <c r="C466" s="344" t="s">
        <v>582</v>
      </c>
      <c r="D466" s="345" t="s">
        <v>192</v>
      </c>
      <c r="F466"/>
      <c r="G466"/>
      <c r="H466"/>
      <c r="J466" s="26"/>
      <c r="K466" s="26"/>
      <c r="L466" s="26"/>
      <c r="M466" s="26"/>
      <c r="O466" s="26"/>
      <c r="P466" s="26"/>
      <c r="Q466" s="26"/>
      <c r="R466" s="26"/>
    </row>
    <row r="467" spans="2:18" ht="20.45" customHeight="1" x14ac:dyDescent="0.3">
      <c r="B467" s="343" t="s">
        <v>24</v>
      </c>
      <c r="C467" s="344" t="s">
        <v>582</v>
      </c>
      <c r="D467" s="345" t="s">
        <v>622</v>
      </c>
      <c r="F467"/>
      <c r="G467"/>
      <c r="H467"/>
      <c r="J467" s="26"/>
      <c r="K467" s="26"/>
      <c r="L467" s="26"/>
      <c r="M467" s="26"/>
      <c r="O467" s="26"/>
      <c r="P467" s="26"/>
      <c r="Q467" s="26"/>
      <c r="R467" s="26"/>
    </row>
    <row r="468" spans="2:18" ht="20.45" customHeight="1" x14ac:dyDescent="0.3">
      <c r="B468" s="343" t="s">
        <v>24</v>
      </c>
      <c r="C468" s="344" t="s">
        <v>582</v>
      </c>
      <c r="D468" s="345" t="s">
        <v>193</v>
      </c>
      <c r="F468"/>
      <c r="G468"/>
      <c r="H468"/>
      <c r="J468" s="26"/>
      <c r="K468" s="26"/>
      <c r="L468" s="26"/>
      <c r="M468" s="26"/>
      <c r="O468" s="26"/>
      <c r="P468" s="26"/>
      <c r="Q468" s="26"/>
      <c r="R468" s="26"/>
    </row>
    <row r="469" spans="2:18" ht="20.45" customHeight="1" x14ac:dyDescent="0.3">
      <c r="B469" s="343" t="s">
        <v>24</v>
      </c>
      <c r="C469" s="344" t="s">
        <v>582</v>
      </c>
      <c r="D469" s="345" t="s">
        <v>623</v>
      </c>
      <c r="F469"/>
      <c r="G469"/>
      <c r="H469"/>
      <c r="J469" s="26"/>
      <c r="K469" s="26"/>
      <c r="L469" s="26"/>
      <c r="M469" s="26"/>
      <c r="O469" s="26"/>
      <c r="P469" s="26"/>
      <c r="Q469" s="26"/>
      <c r="R469" s="26"/>
    </row>
    <row r="470" spans="2:18" ht="20.45" customHeight="1" x14ac:dyDescent="0.3">
      <c r="B470" s="343" t="s">
        <v>24</v>
      </c>
      <c r="C470" s="344" t="s">
        <v>582</v>
      </c>
      <c r="D470" s="345" t="s">
        <v>624</v>
      </c>
      <c r="F470"/>
      <c r="G470"/>
      <c r="H470"/>
      <c r="J470" s="26"/>
      <c r="K470" s="26"/>
      <c r="L470" s="26"/>
      <c r="M470" s="26"/>
      <c r="O470" s="26"/>
      <c r="P470" s="26"/>
      <c r="Q470" s="26"/>
      <c r="R470" s="26"/>
    </row>
    <row r="471" spans="2:18" ht="20.45" customHeight="1" x14ac:dyDescent="0.3">
      <c r="B471" s="343" t="s">
        <v>24</v>
      </c>
      <c r="C471" s="344" t="s">
        <v>582</v>
      </c>
      <c r="D471" s="345" t="s">
        <v>625</v>
      </c>
      <c r="F471"/>
      <c r="G471"/>
      <c r="H471"/>
      <c r="J471" s="26"/>
      <c r="K471" s="26"/>
      <c r="L471" s="26"/>
      <c r="M471" s="26"/>
      <c r="O471" s="26"/>
      <c r="P471" s="26"/>
      <c r="Q471" s="26"/>
      <c r="R471" s="26"/>
    </row>
    <row r="472" spans="2:18" ht="16.5" x14ac:dyDescent="0.3">
      <c r="B472" s="343" t="s">
        <v>24</v>
      </c>
      <c r="C472" s="344" t="s">
        <v>582</v>
      </c>
      <c r="D472" s="345" t="s">
        <v>626</v>
      </c>
      <c r="F472"/>
      <c r="G472"/>
      <c r="H472"/>
      <c r="J472" s="26"/>
      <c r="K472" s="26"/>
      <c r="L472" s="26"/>
      <c r="M472" s="26"/>
      <c r="O472" s="26"/>
      <c r="P472" s="26"/>
      <c r="Q472" s="26"/>
      <c r="R472" s="26"/>
    </row>
    <row r="473" spans="2:18" ht="16.5" x14ac:dyDescent="0.3">
      <c r="B473" s="343" t="s">
        <v>24</v>
      </c>
      <c r="C473" s="344" t="s">
        <v>582</v>
      </c>
      <c r="D473" s="345" t="s">
        <v>194</v>
      </c>
      <c r="F473"/>
      <c r="G473"/>
      <c r="H473"/>
      <c r="J473" s="26"/>
      <c r="K473" s="26"/>
      <c r="L473" s="26"/>
      <c r="M473" s="26"/>
      <c r="O473" s="26"/>
      <c r="P473" s="26"/>
      <c r="Q473" s="26"/>
      <c r="R473" s="26"/>
    </row>
    <row r="474" spans="2:18" ht="16.5" x14ac:dyDescent="0.3">
      <c r="B474" s="343" t="s">
        <v>24</v>
      </c>
      <c r="C474" s="344" t="s">
        <v>582</v>
      </c>
      <c r="D474" s="345" t="s">
        <v>627</v>
      </c>
      <c r="F474"/>
      <c r="G474"/>
      <c r="H474"/>
      <c r="J474" s="26"/>
      <c r="K474" s="26"/>
      <c r="L474" s="26"/>
      <c r="M474" s="26"/>
      <c r="O474" s="26"/>
      <c r="P474" s="26"/>
      <c r="Q474" s="26"/>
      <c r="R474" s="26"/>
    </row>
    <row r="475" spans="2:18" ht="16.5" x14ac:dyDescent="0.3">
      <c r="B475" s="343" t="s">
        <v>24</v>
      </c>
      <c r="C475" s="344" t="s">
        <v>582</v>
      </c>
      <c r="D475" s="345" t="s">
        <v>628</v>
      </c>
      <c r="F475"/>
      <c r="G475"/>
      <c r="H475"/>
      <c r="J475" s="26"/>
      <c r="K475" s="26"/>
      <c r="L475" s="26"/>
      <c r="M475" s="26"/>
      <c r="O475" s="26"/>
      <c r="P475" s="26"/>
      <c r="Q475" s="26"/>
      <c r="R475" s="26"/>
    </row>
    <row r="476" spans="2:18" ht="16.5" x14ac:dyDescent="0.3">
      <c r="B476" s="343" t="s">
        <v>24</v>
      </c>
      <c r="C476" s="344" t="s">
        <v>582</v>
      </c>
      <c r="D476" s="345" t="s">
        <v>629</v>
      </c>
      <c r="F476"/>
      <c r="G476"/>
      <c r="H476"/>
      <c r="J476" s="26"/>
      <c r="K476" s="26"/>
      <c r="L476" s="26"/>
      <c r="M476" s="26"/>
      <c r="O476" s="26"/>
      <c r="P476" s="26"/>
      <c r="Q476" s="26"/>
      <c r="R476" s="26"/>
    </row>
    <row r="477" spans="2:18" ht="16.5" x14ac:dyDescent="0.3">
      <c r="B477" s="343" t="s">
        <v>24</v>
      </c>
      <c r="C477" s="344" t="s">
        <v>582</v>
      </c>
      <c r="D477" s="345" t="s">
        <v>630</v>
      </c>
      <c r="F477"/>
      <c r="G477"/>
      <c r="H477"/>
      <c r="J477" s="26"/>
      <c r="K477" s="26"/>
      <c r="L477" s="26"/>
      <c r="M477" s="26"/>
      <c r="O477" s="26"/>
      <c r="P477" s="26"/>
      <c r="Q477" s="26"/>
      <c r="R477" s="26"/>
    </row>
    <row r="478" spans="2:18" ht="16.5" x14ac:dyDescent="0.3">
      <c r="B478" s="343" t="s">
        <v>24</v>
      </c>
      <c r="C478" s="344" t="s">
        <v>582</v>
      </c>
      <c r="D478" s="345" t="s">
        <v>631</v>
      </c>
      <c r="F478"/>
      <c r="G478"/>
      <c r="H478"/>
      <c r="J478" s="26"/>
      <c r="K478" s="26"/>
      <c r="L478" s="26"/>
      <c r="M478" s="26"/>
      <c r="O478" s="26"/>
      <c r="P478" s="26"/>
      <c r="Q478" s="26"/>
      <c r="R478" s="26"/>
    </row>
    <row r="479" spans="2:18" ht="16.5" x14ac:dyDescent="0.3">
      <c r="B479" s="343" t="s">
        <v>24</v>
      </c>
      <c r="C479" s="344" t="s">
        <v>582</v>
      </c>
      <c r="D479" s="345" t="s">
        <v>632</v>
      </c>
      <c r="F479"/>
      <c r="G479"/>
      <c r="H479"/>
      <c r="J479" s="26"/>
      <c r="K479" s="26"/>
      <c r="L479" s="26"/>
      <c r="M479" s="26"/>
      <c r="O479" s="26"/>
      <c r="P479" s="26"/>
      <c r="Q479" s="26"/>
      <c r="R479" s="26"/>
    </row>
    <row r="480" spans="2:18" ht="16.5" x14ac:dyDescent="0.3">
      <c r="B480" s="343" t="s">
        <v>24</v>
      </c>
      <c r="C480" s="344" t="s">
        <v>582</v>
      </c>
      <c r="D480" s="345" t="s">
        <v>633</v>
      </c>
      <c r="F480"/>
      <c r="G480"/>
      <c r="H480"/>
      <c r="J480" s="26"/>
      <c r="K480" s="26"/>
      <c r="L480" s="26"/>
      <c r="M480" s="26"/>
      <c r="O480" s="26"/>
      <c r="P480" s="26"/>
      <c r="Q480" s="26"/>
      <c r="R480" s="26"/>
    </row>
    <row r="481" spans="2:18" ht="16.5" x14ac:dyDescent="0.3">
      <c r="B481" s="343" t="s">
        <v>24</v>
      </c>
      <c r="C481" s="344" t="s">
        <v>587</v>
      </c>
      <c r="D481" s="345" t="s">
        <v>196</v>
      </c>
      <c r="F481"/>
      <c r="G481"/>
      <c r="H481"/>
      <c r="J481" s="26"/>
      <c r="K481" s="26"/>
      <c r="L481" s="26"/>
      <c r="M481" s="26"/>
      <c r="O481" s="26"/>
      <c r="P481" s="26"/>
      <c r="Q481" s="26"/>
      <c r="R481" s="26"/>
    </row>
    <row r="482" spans="2:18" ht="16.5" x14ac:dyDescent="0.3">
      <c r="B482" s="343" t="s">
        <v>24</v>
      </c>
      <c r="C482" s="344" t="s">
        <v>587</v>
      </c>
      <c r="D482" s="345" t="s">
        <v>634</v>
      </c>
      <c r="F482"/>
      <c r="G482"/>
      <c r="H482"/>
      <c r="J482" s="26"/>
      <c r="K482" s="26"/>
      <c r="L482" s="26"/>
      <c r="M482" s="26"/>
      <c r="O482" s="26"/>
      <c r="P482" s="26"/>
      <c r="Q482" s="26"/>
      <c r="R482" s="26"/>
    </row>
    <row r="483" spans="2:18" ht="16.5" x14ac:dyDescent="0.3">
      <c r="B483" s="343" t="s">
        <v>24</v>
      </c>
      <c r="C483" s="344" t="s">
        <v>587</v>
      </c>
      <c r="D483" s="345" t="s">
        <v>195</v>
      </c>
      <c r="F483"/>
      <c r="G483"/>
      <c r="H483"/>
      <c r="J483" s="26"/>
      <c r="K483" s="26"/>
      <c r="L483" s="26"/>
      <c r="M483" s="26"/>
      <c r="O483" s="26"/>
      <c r="P483" s="26"/>
      <c r="Q483" s="26"/>
      <c r="R483" s="26"/>
    </row>
    <row r="484" spans="2:18" ht="16.5" x14ac:dyDescent="0.3">
      <c r="B484" s="343" t="s">
        <v>24</v>
      </c>
      <c r="C484" s="344" t="s">
        <v>587</v>
      </c>
      <c r="D484" s="345" t="s">
        <v>635</v>
      </c>
      <c r="F484"/>
      <c r="G484"/>
      <c r="H484"/>
      <c r="J484" s="26"/>
      <c r="K484" s="26"/>
      <c r="L484" s="26"/>
      <c r="M484" s="26"/>
      <c r="O484" s="26"/>
      <c r="P484" s="26"/>
      <c r="Q484" s="26"/>
      <c r="R484" s="26"/>
    </row>
    <row r="485" spans="2:18" ht="16.5" x14ac:dyDescent="0.3">
      <c r="B485" s="343" t="s">
        <v>24</v>
      </c>
      <c r="C485" s="344" t="s">
        <v>587</v>
      </c>
      <c r="D485" s="345" t="s">
        <v>636</v>
      </c>
      <c r="F485"/>
      <c r="G485"/>
      <c r="H485"/>
      <c r="J485" s="26"/>
      <c r="K485" s="26"/>
      <c r="L485" s="26"/>
      <c r="M485" s="26"/>
      <c r="O485" s="26"/>
      <c r="P485" s="26"/>
      <c r="Q485" s="26"/>
      <c r="R485" s="26"/>
    </row>
    <row r="486" spans="2:18" ht="16.5" x14ac:dyDescent="0.3">
      <c r="B486" s="343" t="s">
        <v>24</v>
      </c>
      <c r="C486" s="344" t="s">
        <v>587</v>
      </c>
      <c r="D486" s="345" t="s">
        <v>637</v>
      </c>
      <c r="F486"/>
      <c r="G486"/>
      <c r="H486"/>
      <c r="J486" s="26"/>
      <c r="K486" s="26"/>
      <c r="L486" s="26"/>
      <c r="M486" s="26"/>
      <c r="O486" s="26"/>
      <c r="P486" s="26"/>
      <c r="Q486" s="26"/>
      <c r="R486" s="26"/>
    </row>
    <row r="487" spans="2:18" ht="16.5" x14ac:dyDescent="0.3">
      <c r="B487" s="343" t="s">
        <v>24</v>
      </c>
      <c r="C487" s="344" t="s">
        <v>584</v>
      </c>
      <c r="D487" s="345" t="s">
        <v>638</v>
      </c>
      <c r="F487"/>
      <c r="G487"/>
      <c r="H487"/>
      <c r="J487" s="26"/>
      <c r="K487" s="26"/>
      <c r="L487" s="26"/>
      <c r="M487" s="26"/>
      <c r="O487" s="26"/>
      <c r="P487" s="26"/>
      <c r="Q487" s="26"/>
      <c r="R487" s="26"/>
    </row>
    <row r="488" spans="2:18" ht="16.5" x14ac:dyDescent="0.3">
      <c r="B488" s="343" t="s">
        <v>24</v>
      </c>
      <c r="C488" s="344" t="s">
        <v>584</v>
      </c>
      <c r="D488" s="345" t="s">
        <v>639</v>
      </c>
      <c r="F488"/>
      <c r="G488"/>
      <c r="H488"/>
      <c r="J488" s="26"/>
      <c r="K488" s="26"/>
      <c r="L488" s="26"/>
      <c r="M488" s="26"/>
      <c r="O488" s="26"/>
      <c r="P488" s="26"/>
      <c r="Q488" s="26"/>
      <c r="R488" s="26"/>
    </row>
    <row r="489" spans="2:18" ht="16.5" x14ac:dyDescent="0.3">
      <c r="B489" s="343" t="s">
        <v>24</v>
      </c>
      <c r="C489" s="344" t="s">
        <v>584</v>
      </c>
      <c r="D489" s="345" t="s">
        <v>197</v>
      </c>
      <c r="F489"/>
      <c r="G489"/>
      <c r="H489"/>
      <c r="J489" s="26"/>
      <c r="K489" s="26"/>
      <c r="L489" s="26"/>
      <c r="M489" s="26"/>
      <c r="O489" s="26"/>
      <c r="P489" s="26"/>
      <c r="Q489" s="26"/>
      <c r="R489" s="26"/>
    </row>
    <row r="490" spans="2:18" ht="16.5" x14ac:dyDescent="0.3">
      <c r="B490" s="343" t="s">
        <v>24</v>
      </c>
      <c r="C490" s="344" t="s">
        <v>584</v>
      </c>
      <c r="D490" s="345" t="s">
        <v>200</v>
      </c>
      <c r="F490"/>
      <c r="G490"/>
      <c r="H490"/>
      <c r="J490" s="26"/>
      <c r="K490" s="26"/>
      <c r="L490" s="26"/>
      <c r="M490" s="26"/>
      <c r="O490" s="26"/>
      <c r="P490" s="26"/>
      <c r="Q490" s="26"/>
      <c r="R490" s="26"/>
    </row>
    <row r="491" spans="2:18" ht="16.5" x14ac:dyDescent="0.3">
      <c r="B491" s="343" t="s">
        <v>24</v>
      </c>
      <c r="C491" s="344" t="s">
        <v>584</v>
      </c>
      <c r="D491" s="345" t="s">
        <v>640</v>
      </c>
      <c r="F491"/>
      <c r="G491"/>
      <c r="H491"/>
      <c r="J491" s="26"/>
      <c r="K491" s="26"/>
      <c r="L491" s="26"/>
      <c r="M491" s="26"/>
      <c r="O491" s="26"/>
      <c r="P491" s="26"/>
      <c r="Q491" s="26"/>
      <c r="R491" s="26"/>
    </row>
    <row r="492" spans="2:18" ht="16.5" x14ac:dyDescent="0.3">
      <c r="B492" s="343" t="s">
        <v>24</v>
      </c>
      <c r="C492" s="344" t="s">
        <v>584</v>
      </c>
      <c r="D492" s="345" t="s">
        <v>641</v>
      </c>
      <c r="F492"/>
      <c r="G492"/>
      <c r="H492"/>
      <c r="J492" s="26"/>
      <c r="K492" s="26"/>
      <c r="L492" s="26"/>
      <c r="M492" s="26"/>
      <c r="O492" s="26"/>
      <c r="P492" s="26"/>
      <c r="Q492" s="26"/>
      <c r="R492" s="26"/>
    </row>
    <row r="493" spans="2:18" ht="16.5" x14ac:dyDescent="0.3">
      <c r="B493" s="343" t="s">
        <v>24</v>
      </c>
      <c r="C493" s="344" t="s">
        <v>591</v>
      </c>
      <c r="D493" s="345" t="s">
        <v>642</v>
      </c>
      <c r="F493"/>
      <c r="G493"/>
      <c r="H493"/>
      <c r="J493" s="26"/>
      <c r="K493" s="26"/>
      <c r="L493" s="26"/>
      <c r="M493" s="26"/>
      <c r="O493" s="26"/>
      <c r="P493" s="26"/>
      <c r="Q493" s="26"/>
      <c r="R493" s="26"/>
    </row>
    <row r="494" spans="2:18" ht="16.5" x14ac:dyDescent="0.3">
      <c r="B494" s="343" t="s">
        <v>24</v>
      </c>
      <c r="C494" s="344" t="s">
        <v>584</v>
      </c>
      <c r="D494" s="345" t="s">
        <v>198</v>
      </c>
      <c r="F494"/>
      <c r="G494"/>
      <c r="H494"/>
      <c r="J494" s="26"/>
      <c r="K494" s="26"/>
      <c r="L494" s="26"/>
      <c r="M494" s="26"/>
      <c r="O494" s="26"/>
      <c r="P494" s="26"/>
      <c r="Q494" s="26"/>
      <c r="R494" s="26"/>
    </row>
    <row r="495" spans="2:18" ht="16.5" x14ac:dyDescent="0.3">
      <c r="B495" s="343" t="s">
        <v>24</v>
      </c>
      <c r="C495" s="344" t="s">
        <v>584</v>
      </c>
      <c r="D495" s="345" t="s">
        <v>199</v>
      </c>
      <c r="F495"/>
      <c r="G495"/>
      <c r="H495"/>
      <c r="J495" s="26"/>
      <c r="K495" s="26"/>
      <c r="L495" s="26"/>
      <c r="M495" s="26"/>
      <c r="O495" s="26"/>
      <c r="P495" s="26"/>
      <c r="Q495" s="26"/>
      <c r="R495" s="26"/>
    </row>
    <row r="496" spans="2:18" ht="16.5" x14ac:dyDescent="0.3">
      <c r="B496" s="343" t="s">
        <v>24</v>
      </c>
      <c r="C496" s="344" t="s">
        <v>584</v>
      </c>
      <c r="D496" s="345" t="s">
        <v>201</v>
      </c>
      <c r="F496"/>
      <c r="G496"/>
      <c r="H496"/>
      <c r="J496" s="26"/>
      <c r="K496" s="26"/>
      <c r="L496" s="26"/>
      <c r="M496" s="26"/>
      <c r="O496" s="26"/>
      <c r="P496" s="26"/>
      <c r="Q496" s="26"/>
      <c r="R496" s="26"/>
    </row>
    <row r="497" spans="2:18" ht="16.5" x14ac:dyDescent="0.3">
      <c r="B497" s="343" t="s">
        <v>24</v>
      </c>
      <c r="C497" s="344" t="s">
        <v>584</v>
      </c>
      <c r="D497" s="345" t="s">
        <v>643</v>
      </c>
      <c r="F497"/>
      <c r="G497"/>
      <c r="H497"/>
      <c r="J497" s="26"/>
      <c r="K497" s="26"/>
      <c r="L497" s="26"/>
      <c r="M497" s="26"/>
      <c r="O497" s="26"/>
      <c r="P497" s="26"/>
      <c r="Q497" s="26"/>
      <c r="R497" s="26"/>
    </row>
    <row r="498" spans="2:18" ht="16.5" x14ac:dyDescent="0.3">
      <c r="B498" s="343" t="s">
        <v>24</v>
      </c>
      <c r="C498" s="344" t="s">
        <v>587</v>
      </c>
      <c r="D498" s="345" t="s">
        <v>305</v>
      </c>
      <c r="F498"/>
      <c r="G498"/>
      <c r="H498"/>
      <c r="J498" s="26"/>
      <c r="K498" s="26"/>
      <c r="L498" s="26"/>
      <c r="M498" s="26"/>
      <c r="O498" s="26"/>
      <c r="P498" s="26"/>
      <c r="Q498" s="26"/>
      <c r="R498" s="26"/>
    </row>
    <row r="499" spans="2:18" ht="16.5" x14ac:dyDescent="0.3">
      <c r="B499" s="343" t="s">
        <v>24</v>
      </c>
      <c r="C499" s="344" t="s">
        <v>587</v>
      </c>
      <c r="D499" s="345" t="s">
        <v>644</v>
      </c>
      <c r="F499"/>
      <c r="G499"/>
      <c r="H499"/>
      <c r="J499" s="26"/>
      <c r="K499" s="26"/>
      <c r="L499" s="26"/>
      <c r="M499" s="26"/>
      <c r="O499" s="26"/>
      <c r="P499" s="26"/>
      <c r="Q499" s="26"/>
      <c r="R499" s="26"/>
    </row>
    <row r="500" spans="2:18" ht="16.5" x14ac:dyDescent="0.3">
      <c r="B500" s="343" t="s">
        <v>24</v>
      </c>
      <c r="C500" s="344" t="s">
        <v>587</v>
      </c>
      <c r="D500" s="345" t="s">
        <v>645</v>
      </c>
      <c r="F500"/>
      <c r="G500"/>
      <c r="H500"/>
      <c r="J500" s="26"/>
      <c r="K500" s="26"/>
      <c r="L500" s="26"/>
      <c r="M500" s="26"/>
      <c r="O500" s="26"/>
      <c r="P500" s="26"/>
      <c r="Q500" s="26"/>
      <c r="R500" s="26"/>
    </row>
    <row r="501" spans="2:18" ht="16.5" x14ac:dyDescent="0.3">
      <c r="B501" s="343" t="s">
        <v>24</v>
      </c>
      <c r="C501" s="344" t="s">
        <v>587</v>
      </c>
      <c r="D501" s="345" t="s">
        <v>306</v>
      </c>
      <c r="F501"/>
      <c r="G501"/>
      <c r="H501"/>
      <c r="J501" s="26"/>
      <c r="K501" s="26"/>
      <c r="L501" s="26"/>
      <c r="M501" s="26"/>
      <c r="O501" s="26"/>
      <c r="P501" s="26"/>
      <c r="Q501" s="26"/>
      <c r="R501" s="26"/>
    </row>
    <row r="502" spans="2:18" ht="16.5" x14ac:dyDescent="0.3">
      <c r="B502" s="343" t="s">
        <v>24</v>
      </c>
      <c r="C502" s="344" t="s">
        <v>587</v>
      </c>
      <c r="D502" s="345" t="s">
        <v>303</v>
      </c>
      <c r="F502"/>
      <c r="G502"/>
      <c r="H502"/>
      <c r="J502" s="26"/>
      <c r="K502" s="26"/>
      <c r="L502" s="26"/>
      <c r="M502" s="26"/>
      <c r="O502" s="26"/>
      <c r="P502" s="26"/>
      <c r="Q502" s="26"/>
      <c r="R502" s="26"/>
    </row>
    <row r="503" spans="2:18" ht="16.5" x14ac:dyDescent="0.3">
      <c r="B503" s="343" t="s">
        <v>24</v>
      </c>
      <c r="C503" s="344" t="s">
        <v>587</v>
      </c>
      <c r="D503" s="345" t="s">
        <v>304</v>
      </c>
      <c r="F503"/>
      <c r="G503"/>
      <c r="H503"/>
      <c r="J503" s="26"/>
      <c r="K503" s="26"/>
      <c r="L503" s="26"/>
      <c r="M503" s="26"/>
      <c r="O503" s="26"/>
      <c r="P503" s="26"/>
      <c r="Q503" s="26"/>
      <c r="R503" s="26"/>
    </row>
    <row r="504" spans="2:18" ht="16.5" x14ac:dyDescent="0.3">
      <c r="B504" s="343" t="s">
        <v>24</v>
      </c>
      <c r="C504" s="344" t="s">
        <v>587</v>
      </c>
      <c r="D504" s="345" t="s">
        <v>307</v>
      </c>
      <c r="F504"/>
      <c r="G504"/>
      <c r="H504"/>
      <c r="J504" s="26"/>
      <c r="K504" s="26"/>
      <c r="L504" s="26"/>
      <c r="M504" s="26"/>
      <c r="O504" s="26"/>
      <c r="P504" s="26"/>
      <c r="Q504" s="26"/>
      <c r="R504" s="26"/>
    </row>
    <row r="505" spans="2:18" ht="16.5" x14ac:dyDescent="0.3">
      <c r="B505" s="343" t="s">
        <v>24</v>
      </c>
      <c r="C505" s="344" t="s">
        <v>587</v>
      </c>
      <c r="D505" s="345" t="s">
        <v>646</v>
      </c>
      <c r="F505"/>
      <c r="G505"/>
      <c r="H505"/>
      <c r="J505" s="26"/>
      <c r="K505" s="26"/>
      <c r="L505" s="26"/>
      <c r="M505" s="26"/>
      <c r="O505" s="26"/>
      <c r="P505" s="26"/>
      <c r="Q505" s="26"/>
      <c r="R505" s="26"/>
    </row>
    <row r="506" spans="2:18" ht="16.5" x14ac:dyDescent="0.3">
      <c r="B506" s="343" t="s">
        <v>24</v>
      </c>
      <c r="C506" s="344" t="s">
        <v>587</v>
      </c>
      <c r="D506" s="345" t="s">
        <v>647</v>
      </c>
      <c r="F506"/>
      <c r="G506"/>
      <c r="H506"/>
      <c r="J506" s="26"/>
      <c r="K506" s="26"/>
      <c r="L506" s="26"/>
      <c r="M506" s="26"/>
      <c r="O506" s="26"/>
      <c r="P506" s="26"/>
      <c r="Q506" s="26"/>
      <c r="R506" s="26"/>
    </row>
    <row r="507" spans="2:18" ht="16.5" x14ac:dyDescent="0.3">
      <c r="B507" s="343" t="s">
        <v>24</v>
      </c>
      <c r="C507" s="344" t="s">
        <v>587</v>
      </c>
      <c r="D507" s="345" t="s">
        <v>648</v>
      </c>
      <c r="F507"/>
      <c r="G507"/>
      <c r="H507"/>
      <c r="J507" s="26"/>
      <c r="K507" s="26"/>
      <c r="L507" s="26"/>
      <c r="M507" s="26"/>
      <c r="O507" s="26"/>
      <c r="P507" s="26"/>
      <c r="Q507" s="26"/>
      <c r="R507" s="26"/>
    </row>
    <row r="508" spans="2:18" ht="16.5" x14ac:dyDescent="0.3">
      <c r="B508" s="343" t="s">
        <v>24</v>
      </c>
      <c r="C508" s="344" t="s">
        <v>582</v>
      </c>
      <c r="D508" s="345" t="s">
        <v>1070</v>
      </c>
      <c r="F508"/>
      <c r="G508"/>
      <c r="H508"/>
      <c r="J508" s="26"/>
      <c r="K508" s="26"/>
      <c r="L508" s="26"/>
      <c r="M508" s="26"/>
      <c r="O508" s="26"/>
      <c r="P508" s="26"/>
      <c r="Q508" s="26"/>
      <c r="R508" s="26"/>
    </row>
    <row r="509" spans="2:18" ht="16.5" x14ac:dyDescent="0.3">
      <c r="B509" s="343" t="s">
        <v>24</v>
      </c>
      <c r="C509" s="344" t="s">
        <v>582</v>
      </c>
      <c r="D509" s="345" t="s">
        <v>1064</v>
      </c>
      <c r="F509"/>
      <c r="G509"/>
      <c r="H509"/>
      <c r="J509" s="26"/>
      <c r="K509" s="26"/>
      <c r="L509" s="26"/>
      <c r="M509" s="26"/>
      <c r="O509" s="26"/>
      <c r="P509" s="26"/>
      <c r="Q509" s="26"/>
      <c r="R509" s="26"/>
    </row>
    <row r="510" spans="2:18" ht="16.5" x14ac:dyDescent="0.3">
      <c r="B510" s="343" t="s">
        <v>24</v>
      </c>
      <c r="C510" s="344" t="s">
        <v>582</v>
      </c>
      <c r="D510" s="345" t="s">
        <v>1071</v>
      </c>
      <c r="F510"/>
      <c r="G510"/>
      <c r="H510"/>
      <c r="J510" s="26"/>
      <c r="K510" s="26"/>
      <c r="L510" s="26"/>
      <c r="M510" s="26"/>
      <c r="O510" s="26"/>
      <c r="P510" s="26"/>
      <c r="Q510" s="26"/>
      <c r="R510" s="26"/>
    </row>
    <row r="511" spans="2:18" ht="16.5" x14ac:dyDescent="0.3">
      <c r="B511" s="343" t="s">
        <v>24</v>
      </c>
      <c r="C511" s="344" t="s">
        <v>582</v>
      </c>
      <c r="D511" s="345" t="s">
        <v>1072</v>
      </c>
      <c r="F511"/>
      <c r="G511"/>
      <c r="H511"/>
      <c r="J511" s="26"/>
      <c r="K511" s="26"/>
      <c r="L511" s="26"/>
      <c r="M511" s="26"/>
      <c r="O511" s="26"/>
      <c r="P511" s="26"/>
      <c r="Q511" s="26"/>
      <c r="R511" s="26"/>
    </row>
    <row r="512" spans="2:18" ht="16.5" x14ac:dyDescent="0.3">
      <c r="B512" s="343" t="s">
        <v>24</v>
      </c>
      <c r="C512" s="344" t="s">
        <v>582</v>
      </c>
      <c r="D512" s="345" t="s">
        <v>1073</v>
      </c>
      <c r="F512"/>
      <c r="G512"/>
      <c r="H512"/>
      <c r="J512" s="26"/>
      <c r="K512" s="26"/>
      <c r="L512" s="26"/>
      <c r="M512" s="26"/>
      <c r="O512" s="26"/>
      <c r="P512" s="26"/>
      <c r="Q512" s="26"/>
      <c r="R512" s="26"/>
    </row>
    <row r="513" spans="2:18" ht="16.5" x14ac:dyDescent="0.3">
      <c r="B513" s="343" t="s">
        <v>24</v>
      </c>
      <c r="C513" s="344" t="s">
        <v>582</v>
      </c>
      <c r="D513" s="345" t="s">
        <v>1065</v>
      </c>
      <c r="F513"/>
      <c r="G513"/>
      <c r="H513"/>
      <c r="J513" s="26"/>
      <c r="K513" s="26"/>
      <c r="L513" s="26"/>
      <c r="M513" s="26"/>
      <c r="O513" s="26"/>
      <c r="P513" s="26"/>
      <c r="Q513" s="26"/>
      <c r="R513" s="26"/>
    </row>
    <row r="514" spans="2:18" ht="16.5" x14ac:dyDescent="0.3">
      <c r="B514" s="343" t="s">
        <v>24</v>
      </c>
      <c r="C514" s="344" t="s">
        <v>582</v>
      </c>
      <c r="D514" s="345" t="s">
        <v>1074</v>
      </c>
      <c r="F514"/>
      <c r="G514"/>
      <c r="H514"/>
      <c r="J514" s="26"/>
      <c r="K514" s="26"/>
      <c r="L514" s="26"/>
      <c r="M514" s="26"/>
      <c r="O514" s="26"/>
      <c r="P514" s="26"/>
      <c r="Q514" s="26"/>
      <c r="R514" s="26"/>
    </row>
    <row r="515" spans="2:18" ht="16.5" x14ac:dyDescent="0.3">
      <c r="B515" s="343" t="s">
        <v>24</v>
      </c>
      <c r="C515" s="344" t="s">
        <v>582</v>
      </c>
      <c r="D515" s="345" t="s">
        <v>1066</v>
      </c>
      <c r="F515"/>
      <c r="G515"/>
      <c r="H515"/>
      <c r="J515" s="26"/>
      <c r="K515" s="26"/>
      <c r="L515" s="26"/>
      <c r="M515" s="26"/>
      <c r="O515" s="26"/>
      <c r="P515" s="26"/>
      <c r="Q515" s="26"/>
      <c r="R515" s="26"/>
    </row>
    <row r="516" spans="2:18" ht="16.5" x14ac:dyDescent="0.3">
      <c r="B516" s="343" t="s">
        <v>24</v>
      </c>
      <c r="C516" s="344" t="s">
        <v>582</v>
      </c>
      <c r="D516" s="345" t="s">
        <v>1075</v>
      </c>
      <c r="F516"/>
      <c r="G516"/>
      <c r="H516"/>
      <c r="J516" s="26"/>
      <c r="K516" s="26"/>
      <c r="L516" s="26"/>
      <c r="M516" s="26"/>
      <c r="O516" s="26"/>
      <c r="P516" s="26"/>
      <c r="Q516" s="26"/>
      <c r="R516" s="26"/>
    </row>
    <row r="517" spans="2:18" ht="16.5" x14ac:dyDescent="0.3">
      <c r="B517" s="343" t="s">
        <v>24</v>
      </c>
      <c r="C517" s="344" t="s">
        <v>582</v>
      </c>
      <c r="D517" s="345" t="s">
        <v>1076</v>
      </c>
      <c r="F517"/>
      <c r="G517"/>
      <c r="H517"/>
      <c r="J517" s="26"/>
      <c r="K517" s="26"/>
      <c r="L517" s="26"/>
      <c r="M517" s="26"/>
      <c r="O517" s="26"/>
      <c r="P517" s="26"/>
      <c r="Q517" s="26"/>
      <c r="R517" s="26"/>
    </row>
    <row r="518" spans="2:18" ht="16.5" x14ac:dyDescent="0.3">
      <c r="B518" s="343" t="s">
        <v>24</v>
      </c>
      <c r="C518" s="344" t="s">
        <v>582</v>
      </c>
      <c r="D518" s="345" t="s">
        <v>1077</v>
      </c>
      <c r="F518"/>
      <c r="G518"/>
      <c r="H518"/>
      <c r="J518" s="26"/>
      <c r="K518" s="26"/>
      <c r="L518" s="26"/>
      <c r="M518" s="26"/>
      <c r="O518" s="26"/>
      <c r="P518" s="26"/>
      <c r="Q518" s="26"/>
      <c r="R518" s="26"/>
    </row>
    <row r="519" spans="2:18" ht="16.5" x14ac:dyDescent="0.3">
      <c r="B519" s="343" t="s">
        <v>24</v>
      </c>
      <c r="C519" s="344" t="s">
        <v>582</v>
      </c>
      <c r="D519" s="345" t="s">
        <v>1078</v>
      </c>
      <c r="F519"/>
      <c r="G519"/>
      <c r="H519"/>
      <c r="J519" s="26"/>
      <c r="K519" s="26"/>
      <c r="L519" s="26"/>
      <c r="M519" s="26"/>
      <c r="O519" s="26"/>
      <c r="P519" s="26"/>
      <c r="Q519" s="26"/>
      <c r="R519" s="26"/>
    </row>
    <row r="520" spans="2:18" ht="16.5" x14ac:dyDescent="0.3">
      <c r="B520" s="343" t="s">
        <v>24</v>
      </c>
      <c r="C520" s="344" t="s">
        <v>582</v>
      </c>
      <c r="D520" s="345" t="s">
        <v>1079</v>
      </c>
      <c r="F520"/>
      <c r="G520"/>
      <c r="H520"/>
      <c r="J520" s="26"/>
      <c r="K520" s="26"/>
      <c r="L520" s="26"/>
      <c r="M520" s="26"/>
      <c r="O520" s="26"/>
      <c r="P520" s="26"/>
      <c r="Q520" s="26"/>
      <c r="R520" s="26"/>
    </row>
    <row r="521" spans="2:18" ht="16.5" x14ac:dyDescent="0.3">
      <c r="B521" s="343" t="s">
        <v>24</v>
      </c>
      <c r="C521" s="344" t="s">
        <v>582</v>
      </c>
      <c r="D521" s="345" t="s">
        <v>1080</v>
      </c>
      <c r="F521"/>
      <c r="G521"/>
      <c r="H521"/>
      <c r="J521" s="26"/>
      <c r="K521" s="26"/>
      <c r="L521" s="26"/>
      <c r="M521" s="26"/>
      <c r="O521" s="26"/>
      <c r="P521" s="26"/>
      <c r="Q521" s="26"/>
      <c r="R521" s="26"/>
    </row>
    <row r="522" spans="2:18" ht="16.5" x14ac:dyDescent="0.3">
      <c r="B522" s="343" t="s">
        <v>24</v>
      </c>
      <c r="C522" s="344" t="s">
        <v>582</v>
      </c>
      <c r="D522" s="345" t="s">
        <v>1358</v>
      </c>
      <c r="F522"/>
      <c r="G522"/>
      <c r="H522"/>
      <c r="J522" s="26"/>
      <c r="K522" s="26"/>
      <c r="L522" s="26"/>
      <c r="M522" s="26"/>
      <c r="O522" s="26"/>
      <c r="P522" s="26"/>
      <c r="Q522" s="26"/>
      <c r="R522" s="26"/>
    </row>
    <row r="523" spans="2:18" ht="16.5" x14ac:dyDescent="0.3">
      <c r="B523" s="343" t="s">
        <v>24</v>
      </c>
      <c r="C523" s="344" t="s">
        <v>584</v>
      </c>
      <c r="D523" s="345" t="s">
        <v>1374</v>
      </c>
      <c r="F523"/>
      <c r="G523"/>
      <c r="H523"/>
      <c r="J523" s="26"/>
      <c r="K523" s="26"/>
      <c r="L523" s="26"/>
      <c r="M523" s="26"/>
      <c r="O523" s="26"/>
      <c r="P523" s="26"/>
      <c r="Q523" s="26"/>
      <c r="R523" s="26"/>
    </row>
    <row r="524" spans="2:18" ht="16.5" x14ac:dyDescent="0.3">
      <c r="B524" s="343" t="s">
        <v>649</v>
      </c>
      <c r="C524" s="344" t="s">
        <v>1466</v>
      </c>
      <c r="D524" s="345" t="s">
        <v>1467</v>
      </c>
      <c r="F524"/>
      <c r="G524"/>
      <c r="H524"/>
      <c r="J524" s="26"/>
      <c r="K524" s="26"/>
      <c r="L524" s="26"/>
      <c r="M524" s="26"/>
      <c r="O524" s="26"/>
      <c r="P524" s="26"/>
      <c r="Q524" s="26"/>
      <c r="R524" s="26"/>
    </row>
    <row r="525" spans="2:18" ht="16.5" x14ac:dyDescent="0.3">
      <c r="B525" s="343" t="s">
        <v>7</v>
      </c>
      <c r="C525" s="344" t="s">
        <v>650</v>
      </c>
      <c r="D525" s="345" t="s">
        <v>651</v>
      </c>
      <c r="F525"/>
      <c r="G525"/>
      <c r="H525"/>
      <c r="J525" s="26"/>
      <c r="K525" s="26"/>
      <c r="L525" s="26"/>
      <c r="M525" s="26"/>
      <c r="O525" s="26"/>
      <c r="P525" s="26"/>
      <c r="Q525" s="26"/>
      <c r="R525" s="26"/>
    </row>
    <row r="526" spans="2:18" ht="16.5" x14ac:dyDescent="0.3">
      <c r="B526" s="343" t="s">
        <v>7</v>
      </c>
      <c r="C526" s="344" t="s">
        <v>650</v>
      </c>
      <c r="D526" s="345" t="s">
        <v>652</v>
      </c>
      <c r="F526"/>
      <c r="G526"/>
      <c r="H526"/>
      <c r="J526" s="26"/>
      <c r="K526" s="26"/>
      <c r="L526" s="26"/>
      <c r="M526" s="26"/>
      <c r="O526" s="26"/>
      <c r="P526" s="26"/>
      <c r="Q526" s="26"/>
      <c r="R526" s="26"/>
    </row>
    <row r="527" spans="2:18" ht="16.5" x14ac:dyDescent="0.3">
      <c r="B527" s="343" t="s">
        <v>7</v>
      </c>
      <c r="C527" s="344" t="s">
        <v>650</v>
      </c>
      <c r="D527" s="345" t="s">
        <v>653</v>
      </c>
      <c r="F527"/>
      <c r="G527"/>
      <c r="H527"/>
      <c r="J527" s="26"/>
      <c r="K527" s="26"/>
      <c r="L527" s="26"/>
      <c r="M527" s="26"/>
      <c r="O527" s="26"/>
      <c r="P527" s="26"/>
      <c r="Q527" s="26"/>
      <c r="R527" s="26"/>
    </row>
    <row r="528" spans="2:18" ht="16.5" x14ac:dyDescent="0.3">
      <c r="B528" s="343" t="s">
        <v>7</v>
      </c>
      <c r="C528" s="344" t="s">
        <v>654</v>
      </c>
      <c r="D528" s="345" t="s">
        <v>655</v>
      </c>
      <c r="F528"/>
      <c r="G528"/>
      <c r="H528"/>
      <c r="J528" s="26"/>
      <c r="K528" s="26"/>
      <c r="L528" s="26"/>
      <c r="M528" s="26"/>
      <c r="O528" s="26"/>
      <c r="P528" s="26"/>
      <c r="Q528" s="26"/>
      <c r="R528" s="26"/>
    </row>
    <row r="529" spans="2:18" ht="16.5" x14ac:dyDescent="0.3">
      <c r="B529" s="343" t="s">
        <v>7</v>
      </c>
      <c r="C529" s="344" t="s">
        <v>656</v>
      </c>
      <c r="D529" s="345" t="s">
        <v>206</v>
      </c>
      <c r="F529"/>
      <c r="G529"/>
      <c r="H529"/>
      <c r="J529" s="26"/>
      <c r="K529" s="26"/>
      <c r="L529" s="26"/>
      <c r="M529" s="26"/>
      <c r="O529" s="26"/>
      <c r="P529" s="26"/>
      <c r="Q529" s="26"/>
      <c r="R529" s="26"/>
    </row>
    <row r="530" spans="2:18" ht="16.5" x14ac:dyDescent="0.3">
      <c r="B530" s="343" t="s">
        <v>7</v>
      </c>
      <c r="C530" s="344" t="s">
        <v>656</v>
      </c>
      <c r="D530" s="345" t="s">
        <v>203</v>
      </c>
      <c r="F530"/>
      <c r="G530"/>
      <c r="H530"/>
      <c r="J530" s="26"/>
      <c r="K530" s="26"/>
      <c r="L530" s="26"/>
      <c r="M530" s="26"/>
      <c r="O530" s="26"/>
      <c r="P530" s="26"/>
      <c r="Q530" s="26"/>
      <c r="R530" s="26"/>
    </row>
    <row r="531" spans="2:18" ht="16.5" x14ac:dyDescent="0.3">
      <c r="B531" s="343" t="s">
        <v>7</v>
      </c>
      <c r="C531" s="344" t="s">
        <v>656</v>
      </c>
      <c r="D531" s="345" t="s">
        <v>204</v>
      </c>
      <c r="F531"/>
      <c r="G531"/>
      <c r="H531"/>
      <c r="J531" s="26"/>
      <c r="K531" s="26"/>
      <c r="L531" s="26"/>
      <c r="M531" s="26"/>
      <c r="O531" s="26"/>
      <c r="P531" s="26"/>
      <c r="Q531" s="26"/>
      <c r="R531" s="26"/>
    </row>
    <row r="532" spans="2:18" ht="16.5" x14ac:dyDescent="0.3">
      <c r="B532" s="343" t="s">
        <v>7</v>
      </c>
      <c r="C532" s="344" t="s">
        <v>656</v>
      </c>
      <c r="D532" s="345" t="s">
        <v>205</v>
      </c>
      <c r="F532"/>
      <c r="G532"/>
      <c r="H532"/>
      <c r="J532" s="26"/>
      <c r="K532" s="26"/>
      <c r="L532" s="26"/>
      <c r="M532" s="26"/>
      <c r="O532" s="26"/>
      <c r="P532" s="26"/>
      <c r="Q532" s="26"/>
      <c r="R532" s="26"/>
    </row>
    <row r="533" spans="2:18" ht="16.5" x14ac:dyDescent="0.3">
      <c r="B533" s="343" t="s">
        <v>7</v>
      </c>
      <c r="C533" s="344" t="s">
        <v>656</v>
      </c>
      <c r="D533" s="345" t="s">
        <v>209</v>
      </c>
      <c r="F533"/>
      <c r="G533"/>
      <c r="H533"/>
      <c r="J533" s="26"/>
      <c r="K533" s="26"/>
      <c r="L533" s="26"/>
      <c r="M533" s="26"/>
      <c r="O533" s="26"/>
      <c r="P533" s="26"/>
      <c r="Q533" s="26"/>
      <c r="R533" s="26"/>
    </row>
    <row r="534" spans="2:18" ht="16.5" x14ac:dyDescent="0.3">
      <c r="B534" s="343" t="s">
        <v>7</v>
      </c>
      <c r="C534" s="344" t="s">
        <v>656</v>
      </c>
      <c r="D534" s="345" t="s">
        <v>657</v>
      </c>
      <c r="F534"/>
      <c r="G534"/>
      <c r="H534"/>
      <c r="J534" s="26"/>
      <c r="K534" s="26"/>
      <c r="L534" s="26"/>
      <c r="M534" s="26"/>
      <c r="O534" s="26"/>
      <c r="P534" s="26"/>
      <c r="Q534" s="26"/>
      <c r="R534" s="26"/>
    </row>
    <row r="535" spans="2:18" ht="16.5" x14ac:dyDescent="0.3">
      <c r="B535" s="343" t="s">
        <v>7</v>
      </c>
      <c r="C535" s="344" t="s">
        <v>658</v>
      </c>
      <c r="D535" s="345" t="s">
        <v>659</v>
      </c>
      <c r="F535"/>
      <c r="G535"/>
      <c r="H535"/>
      <c r="J535" s="26"/>
      <c r="K535" s="26"/>
      <c r="L535" s="26"/>
      <c r="M535" s="26"/>
      <c r="O535" s="26"/>
      <c r="P535" s="26"/>
      <c r="Q535" s="26"/>
      <c r="R535" s="26"/>
    </row>
    <row r="536" spans="2:18" ht="16.5" x14ac:dyDescent="0.3">
      <c r="B536" s="343" t="s">
        <v>7</v>
      </c>
      <c r="C536" s="344" t="s">
        <v>656</v>
      </c>
      <c r="D536" s="345" t="s">
        <v>661</v>
      </c>
      <c r="F536"/>
      <c r="G536"/>
      <c r="H536"/>
      <c r="J536" s="26"/>
      <c r="K536" s="26"/>
      <c r="L536" s="26"/>
      <c r="M536" s="26"/>
      <c r="O536" s="26"/>
      <c r="P536" s="26"/>
      <c r="Q536" s="26"/>
      <c r="R536" s="26"/>
    </row>
    <row r="537" spans="2:18" ht="16.5" x14ac:dyDescent="0.3">
      <c r="B537" s="343" t="s">
        <v>7</v>
      </c>
      <c r="C537" s="344" t="s">
        <v>656</v>
      </c>
      <c r="D537" s="345" t="s">
        <v>662</v>
      </c>
      <c r="F537"/>
      <c r="G537"/>
      <c r="H537"/>
      <c r="J537" s="26"/>
      <c r="K537" s="26"/>
      <c r="L537" s="26"/>
      <c r="M537" s="26"/>
      <c r="O537" s="26"/>
      <c r="P537" s="26"/>
      <c r="Q537" s="26"/>
      <c r="R537" s="26"/>
    </row>
    <row r="538" spans="2:18" ht="16.5" x14ac:dyDescent="0.3">
      <c r="B538" s="343" t="s">
        <v>7</v>
      </c>
      <c r="C538" s="344" t="s">
        <v>656</v>
      </c>
      <c r="D538" s="345" t="s">
        <v>210</v>
      </c>
      <c r="F538"/>
      <c r="G538"/>
      <c r="H538"/>
      <c r="J538" s="26"/>
      <c r="K538" s="26"/>
      <c r="L538" s="26"/>
      <c r="M538" s="26"/>
      <c r="O538" s="26"/>
      <c r="P538" s="26"/>
      <c r="Q538" s="26"/>
      <c r="R538" s="26"/>
    </row>
    <row r="539" spans="2:18" ht="16.5" x14ac:dyDescent="0.3">
      <c r="B539" s="343" t="s">
        <v>7</v>
      </c>
      <c r="C539" s="344" t="s">
        <v>656</v>
      </c>
      <c r="D539" s="345" t="s">
        <v>211</v>
      </c>
      <c r="F539"/>
      <c r="G539"/>
      <c r="H539"/>
      <c r="J539" s="26"/>
      <c r="K539" s="26"/>
      <c r="L539" s="26"/>
      <c r="M539" s="26"/>
      <c r="O539" s="26"/>
      <c r="P539" s="26"/>
      <c r="Q539" s="26"/>
      <c r="R539" s="26"/>
    </row>
    <row r="540" spans="2:18" ht="16.5" x14ac:dyDescent="0.3">
      <c r="B540" s="343" t="s">
        <v>7</v>
      </c>
      <c r="C540" s="344" t="s">
        <v>656</v>
      </c>
      <c r="D540" s="345" t="s">
        <v>663</v>
      </c>
      <c r="F540"/>
      <c r="G540"/>
      <c r="H540"/>
      <c r="J540" s="26"/>
      <c r="K540" s="26"/>
      <c r="L540" s="26"/>
      <c r="M540" s="26"/>
      <c r="O540" s="26"/>
      <c r="P540" s="26"/>
      <c r="Q540" s="26"/>
      <c r="R540" s="26"/>
    </row>
    <row r="541" spans="2:18" ht="16.5" x14ac:dyDescent="0.3">
      <c r="B541" s="343" t="s">
        <v>7</v>
      </c>
      <c r="C541" s="344" t="s">
        <v>656</v>
      </c>
      <c r="D541" s="345" t="s">
        <v>664</v>
      </c>
      <c r="F541"/>
      <c r="G541"/>
      <c r="H541"/>
      <c r="J541" s="26"/>
      <c r="K541" s="26"/>
      <c r="L541" s="26"/>
      <c r="M541" s="26"/>
      <c r="O541" s="26"/>
      <c r="P541" s="26"/>
      <c r="Q541" s="26"/>
      <c r="R541" s="26"/>
    </row>
    <row r="542" spans="2:18" ht="16.5" x14ac:dyDescent="0.3">
      <c r="B542" s="343" t="s">
        <v>7</v>
      </c>
      <c r="C542" s="344" t="s">
        <v>656</v>
      </c>
      <c r="D542" s="345" t="s">
        <v>665</v>
      </c>
      <c r="F542"/>
      <c r="G542"/>
      <c r="H542"/>
      <c r="J542" s="26"/>
      <c r="K542" s="26"/>
      <c r="L542" s="26"/>
      <c r="M542" s="26"/>
      <c r="O542" s="26"/>
      <c r="P542" s="26"/>
      <c r="Q542" s="26"/>
      <c r="R542" s="26"/>
    </row>
    <row r="543" spans="2:18" ht="16.5" x14ac:dyDescent="0.3">
      <c r="B543" s="343" t="s">
        <v>7</v>
      </c>
      <c r="C543" s="344" t="s">
        <v>656</v>
      </c>
      <c r="D543" s="345" t="s">
        <v>666</v>
      </c>
      <c r="F543"/>
      <c r="G543"/>
      <c r="H543"/>
      <c r="J543" s="26"/>
      <c r="K543" s="26"/>
      <c r="L543" s="26"/>
      <c r="M543" s="26"/>
      <c r="O543" s="26"/>
      <c r="P543" s="26"/>
      <c r="Q543" s="26"/>
      <c r="R543" s="26"/>
    </row>
    <row r="544" spans="2:18" ht="16.5" x14ac:dyDescent="0.3">
      <c r="B544" s="343" t="s">
        <v>7</v>
      </c>
      <c r="C544" s="344" t="s">
        <v>656</v>
      </c>
      <c r="D544" s="345" t="s">
        <v>667</v>
      </c>
      <c r="F544"/>
      <c r="G544"/>
      <c r="H544"/>
      <c r="J544" s="26"/>
      <c r="K544" s="26"/>
      <c r="L544" s="26"/>
      <c r="M544" s="26"/>
      <c r="O544" s="26"/>
      <c r="P544" s="26"/>
      <c r="Q544" s="26"/>
      <c r="R544" s="26"/>
    </row>
    <row r="545" spans="2:18" ht="16.5" x14ac:dyDescent="0.3">
      <c r="B545" s="343" t="s">
        <v>8</v>
      </c>
      <c r="C545" s="344" t="s">
        <v>668</v>
      </c>
      <c r="D545" s="345" t="s">
        <v>669</v>
      </c>
      <c r="F545"/>
      <c r="G545"/>
      <c r="H545"/>
      <c r="J545" s="26"/>
      <c r="K545" s="26"/>
      <c r="L545" s="26"/>
      <c r="M545" s="26"/>
      <c r="O545" s="26"/>
      <c r="P545" s="26"/>
      <c r="Q545" s="26"/>
      <c r="R545" s="26"/>
    </row>
    <row r="546" spans="2:18" ht="16.5" x14ac:dyDescent="0.3">
      <c r="B546" s="343" t="s">
        <v>8</v>
      </c>
      <c r="C546" s="344" t="s">
        <v>668</v>
      </c>
      <c r="D546" s="345" t="s">
        <v>670</v>
      </c>
      <c r="F546"/>
      <c r="G546"/>
      <c r="H546"/>
      <c r="J546" s="26"/>
      <c r="K546" s="26"/>
      <c r="L546" s="26"/>
      <c r="M546" s="26"/>
      <c r="O546" s="26"/>
      <c r="P546" s="26"/>
      <c r="Q546" s="26"/>
      <c r="R546" s="26"/>
    </row>
    <row r="547" spans="2:18" ht="16.5" x14ac:dyDescent="0.3">
      <c r="B547" s="343" t="s">
        <v>8</v>
      </c>
      <c r="C547" s="344" t="s">
        <v>668</v>
      </c>
      <c r="D547" s="345" t="s">
        <v>671</v>
      </c>
      <c r="F547"/>
      <c r="G547"/>
      <c r="H547"/>
      <c r="J547" s="26"/>
      <c r="K547" s="26"/>
      <c r="L547" s="26"/>
      <c r="M547" s="26"/>
      <c r="O547" s="26"/>
      <c r="P547" s="26"/>
      <c r="Q547" s="26"/>
      <c r="R547" s="26"/>
    </row>
    <row r="548" spans="2:18" ht="16.5" x14ac:dyDescent="0.3">
      <c r="B548" s="343" t="s">
        <v>8</v>
      </c>
      <c r="C548" s="344" t="s">
        <v>668</v>
      </c>
      <c r="D548" s="345" t="s">
        <v>672</v>
      </c>
      <c r="F548"/>
      <c r="G548"/>
      <c r="H548"/>
      <c r="J548" s="26"/>
      <c r="K548" s="26"/>
      <c r="L548" s="26"/>
      <c r="M548" s="26"/>
      <c r="O548" s="26"/>
      <c r="P548" s="26"/>
      <c r="Q548" s="26"/>
      <c r="R548" s="26"/>
    </row>
    <row r="549" spans="2:18" ht="16.5" x14ac:dyDescent="0.3">
      <c r="B549" s="343" t="s">
        <v>8</v>
      </c>
      <c r="C549" s="344" t="s">
        <v>668</v>
      </c>
      <c r="D549" s="345" t="s">
        <v>218</v>
      </c>
      <c r="F549"/>
      <c r="G549"/>
      <c r="H549"/>
      <c r="J549" s="26"/>
      <c r="K549" s="26"/>
      <c r="L549" s="26"/>
      <c r="M549" s="26"/>
      <c r="O549" s="26"/>
      <c r="P549" s="26"/>
      <c r="Q549" s="26"/>
      <c r="R549" s="26"/>
    </row>
    <row r="550" spans="2:18" ht="16.5" x14ac:dyDescent="0.3">
      <c r="B550" s="343" t="s">
        <v>8</v>
      </c>
      <c r="C550" s="344" t="s">
        <v>668</v>
      </c>
      <c r="D550" s="345" t="s">
        <v>219</v>
      </c>
      <c r="F550"/>
      <c r="G550"/>
      <c r="H550"/>
      <c r="J550" s="26"/>
      <c r="K550" s="26"/>
      <c r="L550" s="26"/>
      <c r="M550" s="26"/>
      <c r="O550" s="26"/>
      <c r="P550" s="26"/>
      <c r="Q550" s="26"/>
      <c r="R550" s="26"/>
    </row>
    <row r="551" spans="2:18" ht="16.5" x14ac:dyDescent="0.3">
      <c r="B551" s="343" t="s">
        <v>8</v>
      </c>
      <c r="C551" s="344" t="s">
        <v>668</v>
      </c>
      <c r="D551" s="345" t="s">
        <v>220</v>
      </c>
      <c r="F551"/>
      <c r="G551"/>
      <c r="H551"/>
      <c r="J551" s="26"/>
      <c r="K551" s="26"/>
      <c r="L551" s="26"/>
      <c r="M551" s="26"/>
      <c r="O551" s="26"/>
      <c r="P551" s="26"/>
      <c r="Q551" s="26"/>
      <c r="R551" s="26"/>
    </row>
    <row r="552" spans="2:18" ht="16.5" x14ac:dyDescent="0.3">
      <c r="B552" s="343" t="s">
        <v>8</v>
      </c>
      <c r="C552" s="344" t="s">
        <v>668</v>
      </c>
      <c r="D552" s="345" t="s">
        <v>222</v>
      </c>
      <c r="F552"/>
      <c r="G552"/>
      <c r="H552"/>
      <c r="J552" s="26"/>
      <c r="K552" s="26"/>
      <c r="L552" s="26"/>
      <c r="M552" s="26"/>
      <c r="O552" s="26"/>
      <c r="P552" s="26"/>
      <c r="Q552" s="26"/>
      <c r="R552" s="26"/>
    </row>
    <row r="553" spans="2:18" ht="16.5" x14ac:dyDescent="0.3">
      <c r="B553" s="343" t="s">
        <v>8</v>
      </c>
      <c r="C553" s="344" t="s">
        <v>668</v>
      </c>
      <c r="D553" s="345" t="s">
        <v>221</v>
      </c>
      <c r="F553"/>
      <c r="G553"/>
      <c r="H553"/>
      <c r="J553" s="26"/>
      <c r="K553" s="26"/>
      <c r="L553" s="26"/>
      <c r="M553" s="26"/>
      <c r="O553" s="26"/>
      <c r="P553" s="26"/>
      <c r="Q553" s="26"/>
      <c r="R553" s="26"/>
    </row>
    <row r="554" spans="2:18" ht="16.5" x14ac:dyDescent="0.3">
      <c r="B554" s="343" t="s">
        <v>8</v>
      </c>
      <c r="C554" s="344" t="s">
        <v>668</v>
      </c>
      <c r="D554" s="345" t="s">
        <v>224</v>
      </c>
      <c r="F554"/>
      <c r="G554"/>
      <c r="H554"/>
      <c r="J554" s="26"/>
      <c r="K554" s="26"/>
      <c r="L554" s="26"/>
      <c r="M554" s="26"/>
      <c r="O554" s="26"/>
      <c r="P554" s="26"/>
      <c r="Q554" s="26"/>
      <c r="R554" s="26"/>
    </row>
    <row r="555" spans="2:18" ht="16.5" x14ac:dyDescent="0.3">
      <c r="B555" s="343" t="s">
        <v>8</v>
      </c>
      <c r="C555" s="344" t="s">
        <v>668</v>
      </c>
      <c r="D555" s="345" t="s">
        <v>223</v>
      </c>
      <c r="F555"/>
      <c r="G555"/>
      <c r="H555"/>
      <c r="J555" s="26"/>
      <c r="K555" s="26"/>
      <c r="L555" s="26"/>
      <c r="M555" s="26"/>
      <c r="O555" s="26"/>
      <c r="P555" s="26"/>
      <c r="Q555" s="26"/>
      <c r="R555" s="26"/>
    </row>
    <row r="556" spans="2:18" ht="16.5" x14ac:dyDescent="0.3">
      <c r="B556" s="343" t="s">
        <v>8</v>
      </c>
      <c r="C556" s="344" t="s">
        <v>668</v>
      </c>
      <c r="D556" s="345" t="s">
        <v>673</v>
      </c>
      <c r="F556"/>
      <c r="G556"/>
      <c r="H556"/>
      <c r="J556" s="26"/>
      <c r="K556" s="26"/>
      <c r="L556" s="26"/>
      <c r="M556" s="26"/>
      <c r="O556" s="26"/>
      <c r="P556" s="26"/>
      <c r="Q556" s="26"/>
      <c r="R556" s="26"/>
    </row>
    <row r="557" spans="2:18" ht="16.5" x14ac:dyDescent="0.3">
      <c r="B557" s="343" t="s">
        <v>8</v>
      </c>
      <c r="C557" s="344" t="s">
        <v>668</v>
      </c>
      <c r="D557" s="345" t="s">
        <v>215</v>
      </c>
      <c r="F557"/>
      <c r="G557"/>
      <c r="H557"/>
      <c r="J557" s="26"/>
      <c r="K557" s="26"/>
      <c r="L557" s="26"/>
      <c r="M557" s="26"/>
      <c r="O557" s="26"/>
      <c r="P557" s="26"/>
      <c r="Q557" s="26"/>
      <c r="R557" s="26"/>
    </row>
    <row r="558" spans="2:18" ht="16.5" x14ac:dyDescent="0.3">
      <c r="B558" s="343" t="s">
        <v>8</v>
      </c>
      <c r="C558" s="344" t="s">
        <v>668</v>
      </c>
      <c r="D558" s="345" t="s">
        <v>217</v>
      </c>
      <c r="F558"/>
      <c r="G558"/>
      <c r="H558"/>
      <c r="J558" s="26"/>
      <c r="K558" s="26"/>
      <c r="L558" s="26"/>
      <c r="M558" s="26"/>
      <c r="O558" s="26"/>
      <c r="P558" s="26"/>
      <c r="Q558" s="26"/>
      <c r="R558" s="26"/>
    </row>
    <row r="559" spans="2:18" ht="16.5" x14ac:dyDescent="0.3">
      <c r="B559" s="343" t="s">
        <v>8</v>
      </c>
      <c r="C559" s="344" t="s">
        <v>668</v>
      </c>
      <c r="D559" s="345" t="s">
        <v>216</v>
      </c>
      <c r="F559"/>
      <c r="G559"/>
      <c r="H559"/>
      <c r="J559" s="26"/>
      <c r="K559" s="26"/>
      <c r="L559" s="26"/>
      <c r="M559" s="26"/>
      <c r="O559" s="26"/>
      <c r="P559" s="26"/>
      <c r="Q559" s="26"/>
      <c r="R559" s="26"/>
    </row>
    <row r="560" spans="2:18" ht="16.5" x14ac:dyDescent="0.3">
      <c r="B560" s="343" t="s">
        <v>8</v>
      </c>
      <c r="C560" s="344" t="s">
        <v>668</v>
      </c>
      <c r="D560" s="345" t="s">
        <v>212</v>
      </c>
      <c r="F560"/>
      <c r="G560"/>
      <c r="H560"/>
      <c r="J560" s="26"/>
      <c r="K560" s="26"/>
      <c r="L560" s="26"/>
      <c r="M560" s="26"/>
      <c r="O560" s="26"/>
      <c r="P560" s="26"/>
      <c r="Q560" s="26"/>
      <c r="R560" s="26"/>
    </row>
    <row r="561" spans="2:18" ht="16.5" x14ac:dyDescent="0.3">
      <c r="B561" s="343" t="s">
        <v>8</v>
      </c>
      <c r="C561" s="344" t="s">
        <v>668</v>
      </c>
      <c r="D561" s="345" t="s">
        <v>214</v>
      </c>
      <c r="F561"/>
      <c r="G561"/>
      <c r="H561"/>
      <c r="J561" s="26"/>
      <c r="K561" s="26"/>
      <c r="L561" s="26"/>
      <c r="M561" s="26"/>
      <c r="O561" s="26"/>
      <c r="P561" s="26"/>
      <c r="Q561" s="26"/>
      <c r="R561" s="26"/>
    </row>
    <row r="562" spans="2:18" ht="16.5" x14ac:dyDescent="0.3">
      <c r="B562" s="343" t="s">
        <v>8</v>
      </c>
      <c r="C562" s="344" t="s">
        <v>668</v>
      </c>
      <c r="D562" s="345" t="s">
        <v>213</v>
      </c>
      <c r="F562"/>
      <c r="G562"/>
      <c r="H562"/>
      <c r="J562" s="26"/>
      <c r="K562" s="26"/>
      <c r="L562" s="26"/>
      <c r="M562" s="26"/>
      <c r="O562" s="26"/>
      <c r="P562" s="26"/>
      <c r="Q562" s="26"/>
      <c r="R562" s="26"/>
    </row>
    <row r="563" spans="2:18" ht="16.5" x14ac:dyDescent="0.3">
      <c r="B563" s="343" t="s">
        <v>8</v>
      </c>
      <c r="C563" s="344" t="s">
        <v>668</v>
      </c>
      <c r="D563" s="345" t="s">
        <v>674</v>
      </c>
      <c r="F563"/>
      <c r="G563"/>
      <c r="H563"/>
      <c r="J563" s="26"/>
      <c r="K563" s="26"/>
      <c r="L563" s="26"/>
      <c r="M563" s="26"/>
      <c r="O563" s="26"/>
      <c r="P563" s="26"/>
      <c r="Q563" s="26"/>
      <c r="R563" s="26"/>
    </row>
    <row r="564" spans="2:18" ht="16.5" x14ac:dyDescent="0.3">
      <c r="B564" s="343" t="s">
        <v>8</v>
      </c>
      <c r="C564" s="344" t="s">
        <v>668</v>
      </c>
      <c r="D564" s="345" t="s">
        <v>675</v>
      </c>
      <c r="F564"/>
      <c r="G564"/>
      <c r="H564"/>
      <c r="J564" s="26"/>
      <c r="K564" s="26"/>
      <c r="L564" s="26"/>
      <c r="M564" s="26"/>
      <c r="O564" s="26"/>
      <c r="P564" s="26"/>
      <c r="Q564" s="26"/>
      <c r="R564" s="26"/>
    </row>
    <row r="565" spans="2:18" ht="16.5" x14ac:dyDescent="0.3">
      <c r="B565" s="343" t="s">
        <v>8</v>
      </c>
      <c r="C565" s="344" t="s">
        <v>668</v>
      </c>
      <c r="D565" s="345" t="s">
        <v>676</v>
      </c>
      <c r="F565"/>
      <c r="G565"/>
      <c r="H565"/>
      <c r="J565" s="26"/>
      <c r="K565" s="26"/>
      <c r="L565" s="26"/>
      <c r="M565" s="26"/>
      <c r="O565" s="26"/>
      <c r="P565" s="26"/>
      <c r="Q565" s="26"/>
      <c r="R565" s="26"/>
    </row>
    <row r="566" spans="2:18" ht="16.5" x14ac:dyDescent="0.3">
      <c r="B566" s="343" t="s">
        <v>8</v>
      </c>
      <c r="C566" s="344" t="s">
        <v>668</v>
      </c>
      <c r="D566" s="345" t="s">
        <v>225</v>
      </c>
      <c r="F566"/>
      <c r="G566"/>
      <c r="H566"/>
      <c r="J566" s="26"/>
      <c r="K566" s="26"/>
      <c r="L566" s="26"/>
      <c r="M566" s="26"/>
      <c r="O566" s="26"/>
      <c r="P566" s="26"/>
      <c r="Q566" s="26"/>
      <c r="R566" s="26"/>
    </row>
    <row r="567" spans="2:18" ht="16.5" x14ac:dyDescent="0.3">
      <c r="B567" s="343" t="s">
        <v>8</v>
      </c>
      <c r="C567" s="344" t="s">
        <v>668</v>
      </c>
      <c r="D567" s="345" t="s">
        <v>1316</v>
      </c>
      <c r="F567"/>
      <c r="G567"/>
      <c r="H567"/>
      <c r="J567" s="26"/>
      <c r="K567" s="26"/>
      <c r="L567" s="26"/>
      <c r="M567" s="26"/>
      <c r="O567" s="26"/>
      <c r="P567" s="26"/>
      <c r="Q567" s="26"/>
      <c r="R567" s="26"/>
    </row>
    <row r="568" spans="2:18" ht="16.5" x14ac:dyDescent="0.3">
      <c r="B568" s="343" t="s">
        <v>8</v>
      </c>
      <c r="C568" s="344" t="s">
        <v>668</v>
      </c>
      <c r="D568" s="345" t="s">
        <v>1317</v>
      </c>
      <c r="F568"/>
      <c r="G568"/>
      <c r="H568"/>
      <c r="J568" s="26"/>
      <c r="K568" s="26"/>
      <c r="L568" s="26"/>
      <c r="M568" s="26"/>
      <c r="O568" s="26"/>
      <c r="P568" s="26"/>
      <c r="Q568" s="26"/>
      <c r="R568" s="26"/>
    </row>
    <row r="569" spans="2:18" ht="16.5" x14ac:dyDescent="0.3">
      <c r="B569" s="343" t="s">
        <v>8</v>
      </c>
      <c r="C569" s="344" t="s">
        <v>668</v>
      </c>
      <c r="D569" s="345" t="s">
        <v>1396</v>
      </c>
      <c r="F569"/>
      <c r="G569"/>
      <c r="H569"/>
      <c r="J569" s="26"/>
      <c r="K569" s="26"/>
      <c r="L569" s="26"/>
      <c r="M569" s="26"/>
      <c r="O569" s="26"/>
      <c r="P569" s="26"/>
      <c r="Q569" s="26"/>
      <c r="R569" s="26"/>
    </row>
    <row r="570" spans="2:18" ht="16.5" x14ac:dyDescent="0.3">
      <c r="B570" s="343" t="s">
        <v>677</v>
      </c>
      <c r="C570" s="344" t="s">
        <v>678</v>
      </c>
      <c r="D570" s="345" t="s">
        <v>679</v>
      </c>
      <c r="F570"/>
      <c r="G570"/>
      <c r="H570"/>
      <c r="J570" s="26"/>
      <c r="K570" s="26"/>
      <c r="L570" s="26"/>
      <c r="M570" s="26"/>
      <c r="O570" s="26"/>
      <c r="P570" s="26"/>
      <c r="Q570" s="26"/>
      <c r="R570" s="26"/>
    </row>
    <row r="571" spans="2:18" ht="16.5" x14ac:dyDescent="0.3">
      <c r="B571" s="343" t="s">
        <v>677</v>
      </c>
      <c r="C571" s="344" t="s">
        <v>680</v>
      </c>
      <c r="D571" s="345" t="s">
        <v>681</v>
      </c>
      <c r="F571"/>
      <c r="G571"/>
      <c r="H571"/>
      <c r="J571" s="26"/>
      <c r="K571" s="26"/>
      <c r="L571" s="26"/>
      <c r="M571" s="26"/>
      <c r="O571" s="26"/>
      <c r="P571" s="26"/>
      <c r="Q571" s="26"/>
      <c r="R571" s="26"/>
    </row>
    <row r="572" spans="2:18" ht="16.5" x14ac:dyDescent="0.3">
      <c r="B572" s="343" t="s">
        <v>677</v>
      </c>
      <c r="C572" s="344" t="s">
        <v>678</v>
      </c>
      <c r="D572" s="345" t="s">
        <v>682</v>
      </c>
      <c r="F572"/>
      <c r="G572"/>
      <c r="H572"/>
      <c r="J572" s="26"/>
      <c r="K572" s="26"/>
      <c r="L572" s="26"/>
      <c r="M572" s="26"/>
      <c r="O572" s="26"/>
      <c r="P572" s="26"/>
      <c r="Q572" s="26"/>
      <c r="R572" s="26"/>
    </row>
    <row r="573" spans="2:18" ht="16.5" x14ac:dyDescent="0.3">
      <c r="B573" s="343" t="s">
        <v>677</v>
      </c>
      <c r="C573" s="344" t="s">
        <v>680</v>
      </c>
      <c r="D573" s="345" t="s">
        <v>683</v>
      </c>
      <c r="F573"/>
      <c r="G573"/>
      <c r="H573"/>
      <c r="J573" s="26"/>
      <c r="K573" s="26"/>
      <c r="L573" s="26"/>
      <c r="M573" s="26"/>
      <c r="O573" s="26"/>
      <c r="P573" s="26"/>
      <c r="Q573" s="26"/>
      <c r="R573" s="26"/>
    </row>
    <row r="574" spans="2:18" ht="16.5" x14ac:dyDescent="0.3">
      <c r="B574" s="343" t="s">
        <v>677</v>
      </c>
      <c r="C574" s="344" t="s">
        <v>680</v>
      </c>
      <c r="D574" s="345" t="s">
        <v>684</v>
      </c>
      <c r="F574"/>
      <c r="G574"/>
      <c r="H574"/>
      <c r="J574" s="26"/>
      <c r="K574" s="26"/>
      <c r="L574" s="26"/>
      <c r="M574" s="26"/>
      <c r="O574" s="26"/>
      <c r="P574" s="26"/>
      <c r="Q574" s="26"/>
      <c r="R574" s="26"/>
    </row>
    <row r="575" spans="2:18" ht="16.5" x14ac:dyDescent="0.3">
      <c r="B575" s="343" t="s">
        <v>685</v>
      </c>
      <c r="C575" s="344" t="s">
        <v>1330</v>
      </c>
      <c r="D575" s="345" t="s">
        <v>1331</v>
      </c>
      <c r="F575"/>
      <c r="G575"/>
      <c r="H575"/>
      <c r="J575" s="26"/>
      <c r="K575" s="26"/>
      <c r="L575" s="26"/>
      <c r="M575" s="26"/>
      <c r="O575" s="26"/>
      <c r="P575" s="26"/>
      <c r="Q575" s="26"/>
      <c r="R575" s="26"/>
    </row>
    <row r="576" spans="2:18" ht="16.5" x14ac:dyDescent="0.3">
      <c r="B576" s="343" t="s">
        <v>685</v>
      </c>
      <c r="C576" s="344" t="s">
        <v>1330</v>
      </c>
      <c r="D576" s="345" t="s">
        <v>1332</v>
      </c>
      <c r="F576"/>
      <c r="G576"/>
      <c r="H576"/>
      <c r="J576" s="26"/>
      <c r="K576" s="26"/>
      <c r="L576" s="26"/>
      <c r="M576" s="26"/>
      <c r="O576" s="26"/>
      <c r="P576" s="26"/>
      <c r="Q576" s="26"/>
      <c r="R576" s="26"/>
    </row>
    <row r="577" spans="2:18" ht="16.5" x14ac:dyDescent="0.3">
      <c r="B577" s="343" t="s">
        <v>685</v>
      </c>
      <c r="C577" s="344" t="s">
        <v>1330</v>
      </c>
      <c r="D577" s="345" t="s">
        <v>1333</v>
      </c>
      <c r="F577"/>
      <c r="G577"/>
      <c r="H577"/>
      <c r="J577" s="26"/>
      <c r="K577" s="26"/>
      <c r="L577" s="26"/>
      <c r="M577" s="26"/>
      <c r="O577" s="26"/>
      <c r="P577" s="26"/>
      <c r="Q577" s="26"/>
      <c r="R577" s="26"/>
    </row>
    <row r="578" spans="2:18" ht="16.5" x14ac:dyDescent="0.3">
      <c r="B578" s="343" t="s">
        <v>685</v>
      </c>
      <c r="C578" s="344" t="s">
        <v>1330</v>
      </c>
      <c r="D578" s="345" t="s">
        <v>1360</v>
      </c>
      <c r="F578"/>
      <c r="G578"/>
      <c r="H578"/>
      <c r="J578" s="26"/>
      <c r="K578" s="26"/>
      <c r="L578" s="26"/>
      <c r="M578" s="26"/>
      <c r="O578" s="26"/>
      <c r="P578" s="26"/>
      <c r="Q578" s="26"/>
      <c r="R578" s="26"/>
    </row>
    <row r="579" spans="2:18" ht="16.5" x14ac:dyDescent="0.3">
      <c r="B579" s="343" t="s">
        <v>685</v>
      </c>
      <c r="C579" s="344" t="s">
        <v>1326</v>
      </c>
      <c r="D579" s="345" t="s">
        <v>1327</v>
      </c>
      <c r="F579"/>
      <c r="G579"/>
      <c r="H579"/>
      <c r="J579" s="26"/>
      <c r="K579" s="26"/>
      <c r="L579" s="26"/>
      <c r="M579" s="26"/>
      <c r="O579" s="26"/>
      <c r="P579" s="26"/>
      <c r="Q579" s="26"/>
      <c r="R579" s="26"/>
    </row>
    <row r="580" spans="2:18" ht="16.5" x14ac:dyDescent="0.3">
      <c r="B580" s="343" t="s">
        <v>685</v>
      </c>
      <c r="C580" s="344" t="s">
        <v>1326</v>
      </c>
      <c r="D580" s="345" t="s">
        <v>1328</v>
      </c>
      <c r="F580"/>
      <c r="G580"/>
      <c r="H580"/>
      <c r="J580" s="26"/>
      <c r="K580" s="26"/>
      <c r="L580" s="26"/>
      <c r="M580" s="26"/>
      <c r="O580" s="26"/>
      <c r="P580" s="26"/>
      <c r="Q580" s="26"/>
      <c r="R580" s="26"/>
    </row>
    <row r="581" spans="2:18" ht="16.5" x14ac:dyDescent="0.3">
      <c r="B581" s="343" t="s">
        <v>685</v>
      </c>
      <c r="C581" s="344" t="s">
        <v>1326</v>
      </c>
      <c r="D581" s="345" t="s">
        <v>1329</v>
      </c>
      <c r="F581"/>
      <c r="G581"/>
      <c r="H581"/>
      <c r="J581" s="26"/>
      <c r="K581" s="26"/>
      <c r="L581" s="26"/>
      <c r="M581" s="26"/>
      <c r="O581" s="26"/>
      <c r="P581" s="26"/>
      <c r="Q581" s="26"/>
      <c r="R581" s="26"/>
    </row>
    <row r="582" spans="2:18" ht="16.5" x14ac:dyDescent="0.3">
      <c r="B582" s="343" t="s">
        <v>685</v>
      </c>
      <c r="C582" s="344" t="s">
        <v>1322</v>
      </c>
      <c r="D582" s="345" t="s">
        <v>686</v>
      </c>
      <c r="F582"/>
      <c r="G582"/>
      <c r="H582"/>
      <c r="J582" s="26"/>
      <c r="K582" s="26"/>
      <c r="L582" s="26"/>
      <c r="M582" s="26"/>
      <c r="O582" s="26"/>
      <c r="P582" s="26"/>
      <c r="Q582" s="26"/>
      <c r="R582" s="26"/>
    </row>
    <row r="583" spans="2:18" ht="16.5" x14ac:dyDescent="0.3">
      <c r="B583" s="343" t="s">
        <v>685</v>
      </c>
      <c r="C583" s="344" t="s">
        <v>1323</v>
      </c>
      <c r="D583" s="345" t="s">
        <v>363</v>
      </c>
      <c r="F583"/>
      <c r="G583"/>
      <c r="H583"/>
      <c r="J583" s="26"/>
      <c r="K583" s="26"/>
      <c r="L583" s="26"/>
      <c r="M583" s="26"/>
      <c r="O583" s="26"/>
      <c r="P583" s="26"/>
      <c r="Q583" s="26"/>
      <c r="R583" s="26"/>
    </row>
    <row r="584" spans="2:18" ht="16.5" x14ac:dyDescent="0.3">
      <c r="B584" s="343" t="s">
        <v>685</v>
      </c>
      <c r="C584" s="344" t="s">
        <v>1323</v>
      </c>
      <c r="D584" s="345" t="s">
        <v>365</v>
      </c>
      <c r="F584"/>
      <c r="G584"/>
      <c r="H584"/>
      <c r="J584" s="26"/>
      <c r="K584" s="26"/>
      <c r="L584" s="26"/>
      <c r="M584" s="26"/>
      <c r="O584" s="26"/>
      <c r="P584" s="26"/>
      <c r="Q584" s="26"/>
      <c r="R584" s="26"/>
    </row>
    <row r="585" spans="2:18" ht="16.5" x14ac:dyDescent="0.3">
      <c r="B585" s="343" t="s">
        <v>685</v>
      </c>
      <c r="C585" s="344" t="s">
        <v>1323</v>
      </c>
      <c r="D585" s="345" t="s">
        <v>364</v>
      </c>
      <c r="F585"/>
      <c r="G585"/>
      <c r="H585"/>
      <c r="J585" s="26"/>
      <c r="K585" s="26"/>
      <c r="L585" s="26"/>
      <c r="M585" s="26"/>
      <c r="O585" s="26"/>
      <c r="P585" s="26"/>
      <c r="Q585" s="26"/>
      <c r="R585" s="26"/>
    </row>
    <row r="586" spans="2:18" ht="16.5" x14ac:dyDescent="0.3">
      <c r="B586" s="343" t="s">
        <v>685</v>
      </c>
      <c r="C586" s="344" t="s">
        <v>1321</v>
      </c>
      <c r="D586" s="345" t="s">
        <v>362</v>
      </c>
      <c r="F586"/>
      <c r="G586"/>
      <c r="H586"/>
      <c r="J586" s="26"/>
      <c r="K586" s="26"/>
      <c r="L586" s="26"/>
      <c r="M586" s="26"/>
      <c r="O586" s="26"/>
      <c r="P586" s="26"/>
      <c r="Q586" s="26"/>
      <c r="R586" s="26"/>
    </row>
    <row r="587" spans="2:18" ht="16.5" x14ac:dyDescent="0.3">
      <c r="B587" s="343" t="s">
        <v>685</v>
      </c>
      <c r="C587" s="344" t="s">
        <v>1321</v>
      </c>
      <c r="D587" s="345" t="s">
        <v>687</v>
      </c>
      <c r="F587"/>
      <c r="G587"/>
      <c r="H587"/>
      <c r="J587" s="26"/>
      <c r="K587" s="26"/>
      <c r="L587" s="26"/>
      <c r="M587" s="26"/>
      <c r="O587" s="26"/>
      <c r="P587" s="26"/>
      <c r="Q587" s="26"/>
      <c r="R587" s="26"/>
    </row>
    <row r="588" spans="2:18" ht="16.5" x14ac:dyDescent="0.3">
      <c r="B588" s="343" t="s">
        <v>685</v>
      </c>
      <c r="C588" s="344" t="s">
        <v>1321</v>
      </c>
      <c r="D588" s="345" t="s">
        <v>688</v>
      </c>
      <c r="F588"/>
      <c r="G588"/>
      <c r="H588"/>
      <c r="J588" s="26"/>
      <c r="K588" s="26"/>
      <c r="L588" s="26"/>
      <c r="M588" s="26"/>
      <c r="O588" s="26"/>
      <c r="P588" s="26"/>
      <c r="Q588" s="26"/>
      <c r="R588" s="26"/>
    </row>
    <row r="589" spans="2:18" ht="16.5" x14ac:dyDescent="0.3">
      <c r="B589" s="343" t="s">
        <v>685</v>
      </c>
      <c r="C589" s="344" t="s">
        <v>1318</v>
      </c>
      <c r="D589" s="345" t="s">
        <v>90</v>
      </c>
      <c r="F589"/>
      <c r="G589"/>
      <c r="H589"/>
      <c r="J589" s="26"/>
      <c r="K589" s="26"/>
      <c r="L589" s="26"/>
      <c r="M589" s="26"/>
      <c r="O589" s="26"/>
      <c r="P589" s="26"/>
      <c r="Q589" s="26"/>
      <c r="R589" s="26"/>
    </row>
    <row r="590" spans="2:18" ht="16.5" x14ac:dyDescent="0.3">
      <c r="B590" s="343" t="s">
        <v>685</v>
      </c>
      <c r="C590" s="344" t="s">
        <v>1318</v>
      </c>
      <c r="D590" s="345" t="s">
        <v>79</v>
      </c>
      <c r="F590"/>
      <c r="G590"/>
      <c r="H590"/>
      <c r="J590" s="26"/>
      <c r="K590" s="26"/>
      <c r="L590" s="26"/>
      <c r="M590" s="26"/>
      <c r="O590" s="26"/>
      <c r="P590" s="26"/>
      <c r="Q590" s="26"/>
      <c r="R590" s="26"/>
    </row>
    <row r="591" spans="2:18" ht="16.5" x14ac:dyDescent="0.3">
      <c r="B591" s="343" t="s">
        <v>685</v>
      </c>
      <c r="C591" s="344" t="s">
        <v>1324</v>
      </c>
      <c r="D591" s="345" t="s">
        <v>689</v>
      </c>
      <c r="F591"/>
      <c r="G591"/>
      <c r="H591"/>
      <c r="J591" s="26"/>
      <c r="K591" s="26"/>
      <c r="L591" s="26"/>
      <c r="M591" s="26"/>
      <c r="O591" s="26"/>
      <c r="P591" s="26"/>
      <c r="Q591" s="26"/>
      <c r="R591" s="26"/>
    </row>
    <row r="592" spans="2:18" ht="16.5" x14ac:dyDescent="0.3">
      <c r="B592" s="343" t="s">
        <v>685</v>
      </c>
      <c r="C592" s="344" t="s">
        <v>1324</v>
      </c>
      <c r="D592" s="345" t="s">
        <v>690</v>
      </c>
      <c r="F592"/>
      <c r="G592"/>
      <c r="H592"/>
      <c r="J592" s="26"/>
      <c r="K592" s="26"/>
      <c r="L592" s="26"/>
      <c r="M592" s="26"/>
      <c r="O592" s="26"/>
      <c r="P592" s="26"/>
      <c r="Q592" s="26"/>
      <c r="R592" s="26"/>
    </row>
    <row r="593" spans="2:18" ht="16.5" x14ac:dyDescent="0.3">
      <c r="B593" s="343" t="s">
        <v>685</v>
      </c>
      <c r="C593" s="344" t="s">
        <v>1324</v>
      </c>
      <c r="D593" s="345" t="s">
        <v>691</v>
      </c>
      <c r="F593"/>
      <c r="G593"/>
      <c r="H593"/>
      <c r="J593" s="26"/>
      <c r="K593" s="26"/>
      <c r="L593" s="26"/>
      <c r="M593" s="26"/>
      <c r="O593" s="26"/>
      <c r="P593" s="26"/>
      <c r="Q593" s="26"/>
      <c r="R593" s="26"/>
    </row>
    <row r="594" spans="2:18" ht="16.5" x14ac:dyDescent="0.3">
      <c r="B594" s="343" t="s">
        <v>685</v>
      </c>
      <c r="C594" s="344" t="s">
        <v>1325</v>
      </c>
      <c r="D594" s="345" t="s">
        <v>692</v>
      </c>
      <c r="F594"/>
      <c r="G594"/>
      <c r="H594"/>
      <c r="J594" s="26"/>
      <c r="K594" s="26"/>
      <c r="L594" s="26"/>
      <c r="M594" s="26"/>
      <c r="O594" s="26"/>
      <c r="P594" s="26"/>
      <c r="Q594" s="26"/>
      <c r="R594" s="26"/>
    </row>
    <row r="595" spans="2:18" ht="16.5" x14ac:dyDescent="0.3">
      <c r="B595" s="343" t="s">
        <v>685</v>
      </c>
      <c r="C595" s="344" t="s">
        <v>1325</v>
      </c>
      <c r="D595" s="345" t="s">
        <v>693</v>
      </c>
      <c r="F595"/>
      <c r="G595"/>
      <c r="H595"/>
      <c r="J595" s="26"/>
      <c r="K595" s="26"/>
      <c r="L595" s="26"/>
      <c r="M595" s="26"/>
      <c r="O595" s="26"/>
      <c r="P595" s="26"/>
      <c r="Q595" s="26"/>
      <c r="R595" s="26"/>
    </row>
    <row r="596" spans="2:18" ht="16.5" x14ac:dyDescent="0.3">
      <c r="B596" s="343" t="s">
        <v>685</v>
      </c>
      <c r="C596" s="344" t="s">
        <v>1325</v>
      </c>
      <c r="D596" s="345" t="s">
        <v>694</v>
      </c>
      <c r="F596"/>
      <c r="G596"/>
      <c r="H596"/>
      <c r="J596" s="26"/>
      <c r="K596" s="26"/>
      <c r="L596" s="26"/>
      <c r="M596" s="26"/>
      <c r="O596" s="26"/>
      <c r="P596" s="26"/>
      <c r="Q596" s="26"/>
      <c r="R596" s="26"/>
    </row>
    <row r="597" spans="2:18" ht="16.5" x14ac:dyDescent="0.3">
      <c r="B597" s="343" t="s">
        <v>685</v>
      </c>
      <c r="C597" s="344" t="s">
        <v>1334</v>
      </c>
      <c r="D597" s="345" t="s">
        <v>1335</v>
      </c>
      <c r="F597"/>
      <c r="G597"/>
      <c r="H597"/>
      <c r="J597" s="26"/>
      <c r="K597" s="26"/>
      <c r="L597" s="26"/>
      <c r="M597" s="26"/>
      <c r="O597" s="26"/>
      <c r="P597" s="26"/>
      <c r="Q597" s="26"/>
      <c r="R597" s="26"/>
    </row>
    <row r="598" spans="2:18" ht="16.5" x14ac:dyDescent="0.3">
      <c r="B598" s="343" t="s">
        <v>685</v>
      </c>
      <c r="C598" s="344" t="s">
        <v>1319</v>
      </c>
      <c r="D598" s="345" t="s">
        <v>695</v>
      </c>
      <c r="F598"/>
      <c r="G598"/>
      <c r="H598"/>
      <c r="J598" s="26"/>
      <c r="K598" s="26"/>
      <c r="L598" s="26"/>
      <c r="M598" s="26"/>
      <c r="O598" s="26"/>
      <c r="P598" s="26"/>
      <c r="Q598" s="26"/>
      <c r="R598" s="26"/>
    </row>
    <row r="599" spans="2:18" ht="16.5" x14ac:dyDescent="0.3">
      <c r="B599" s="343" t="s">
        <v>685</v>
      </c>
      <c r="C599" s="344" t="s">
        <v>1319</v>
      </c>
      <c r="D599" s="345" t="s">
        <v>696</v>
      </c>
      <c r="F599"/>
      <c r="G599"/>
      <c r="H599"/>
      <c r="J599" s="26"/>
      <c r="K599" s="26"/>
      <c r="L599" s="26"/>
      <c r="M599" s="26"/>
      <c r="O599" s="26"/>
      <c r="P599" s="26"/>
      <c r="Q599" s="26"/>
      <c r="R599" s="26"/>
    </row>
    <row r="600" spans="2:18" ht="16.5" x14ac:dyDescent="0.3">
      <c r="B600" s="343" t="s">
        <v>685</v>
      </c>
      <c r="C600" s="344" t="s">
        <v>1319</v>
      </c>
      <c r="D600" s="345" t="s">
        <v>697</v>
      </c>
      <c r="F600"/>
      <c r="G600"/>
      <c r="H600"/>
      <c r="J600" s="26"/>
      <c r="K600" s="26"/>
      <c r="L600" s="26"/>
      <c r="M600" s="26"/>
      <c r="O600" s="26"/>
      <c r="P600" s="26"/>
      <c r="Q600" s="26"/>
      <c r="R600" s="26"/>
    </row>
    <row r="601" spans="2:18" ht="16.5" x14ac:dyDescent="0.3">
      <c r="B601" s="343" t="s">
        <v>685</v>
      </c>
      <c r="C601" s="344" t="s">
        <v>1320</v>
      </c>
      <c r="D601" s="345" t="s">
        <v>698</v>
      </c>
      <c r="F601"/>
      <c r="G601"/>
      <c r="H601"/>
      <c r="J601" s="26"/>
      <c r="K601" s="26"/>
      <c r="L601" s="26"/>
      <c r="M601" s="26"/>
      <c r="O601" s="26"/>
      <c r="P601" s="26"/>
      <c r="Q601" s="26"/>
      <c r="R601" s="26"/>
    </row>
    <row r="602" spans="2:18" ht="16.5" x14ac:dyDescent="0.3">
      <c r="B602" s="343" t="s">
        <v>685</v>
      </c>
      <c r="C602" s="344" t="s">
        <v>1320</v>
      </c>
      <c r="D602" s="345" t="s">
        <v>699</v>
      </c>
      <c r="F602"/>
      <c r="G602"/>
      <c r="H602"/>
      <c r="J602" s="26"/>
      <c r="K602" s="26"/>
      <c r="L602" s="26"/>
      <c r="M602" s="26"/>
      <c r="O602" s="26"/>
      <c r="P602" s="26"/>
      <c r="Q602" s="26"/>
      <c r="R602" s="26"/>
    </row>
    <row r="603" spans="2:18" ht="16.5" x14ac:dyDescent="0.3">
      <c r="B603" s="343" t="s">
        <v>685</v>
      </c>
      <c r="C603" s="344" t="s">
        <v>1320</v>
      </c>
      <c r="D603" s="345" t="s">
        <v>700</v>
      </c>
      <c r="F603"/>
      <c r="G603"/>
      <c r="H603"/>
      <c r="J603" s="26"/>
      <c r="K603" s="26"/>
      <c r="L603" s="26"/>
      <c r="M603" s="26"/>
      <c r="O603" s="26"/>
      <c r="P603" s="26"/>
      <c r="Q603" s="26"/>
      <c r="R603" s="26"/>
    </row>
    <row r="604" spans="2:18" ht="16.5" x14ac:dyDescent="0.3">
      <c r="B604" s="343" t="s">
        <v>685</v>
      </c>
      <c r="C604" s="344" t="s">
        <v>1468</v>
      </c>
      <c r="D604" s="345" t="s">
        <v>1431</v>
      </c>
      <c r="F604"/>
      <c r="G604"/>
      <c r="H604"/>
      <c r="J604" s="26"/>
      <c r="K604" s="26"/>
      <c r="L604" s="26"/>
      <c r="M604" s="26"/>
      <c r="O604" s="26"/>
      <c r="P604" s="26"/>
      <c r="Q604" s="26"/>
      <c r="R604" s="26"/>
    </row>
    <row r="605" spans="2:18" ht="16.5" x14ac:dyDescent="0.3">
      <c r="B605" s="343" t="s">
        <v>685</v>
      </c>
      <c r="C605" s="344" t="s">
        <v>1468</v>
      </c>
      <c r="D605" s="345" t="s">
        <v>1469</v>
      </c>
      <c r="F605"/>
      <c r="G605"/>
      <c r="H605"/>
      <c r="J605" s="26"/>
      <c r="K605" s="26"/>
      <c r="L605" s="26"/>
      <c r="M605" s="26"/>
      <c r="O605" s="26"/>
      <c r="P605" s="26"/>
      <c r="Q605" s="26"/>
      <c r="R605" s="26"/>
    </row>
    <row r="606" spans="2:18" ht="16.5" x14ac:dyDescent="0.3">
      <c r="B606" s="343" t="s">
        <v>685</v>
      </c>
      <c r="C606" s="344" t="s">
        <v>1470</v>
      </c>
      <c r="D606" s="345" t="s">
        <v>1471</v>
      </c>
      <c r="F606"/>
      <c r="G606"/>
      <c r="H606"/>
      <c r="J606" s="26"/>
      <c r="K606" s="26"/>
      <c r="L606" s="26"/>
      <c r="M606" s="26"/>
      <c r="O606" s="26"/>
      <c r="P606" s="26"/>
      <c r="Q606" s="26"/>
      <c r="R606" s="26"/>
    </row>
    <row r="607" spans="2:18" ht="16.5" x14ac:dyDescent="0.3">
      <c r="B607" s="343" t="s">
        <v>9</v>
      </c>
      <c r="C607" s="344" t="s">
        <v>1336</v>
      </c>
      <c r="D607" s="345" t="s">
        <v>701</v>
      </c>
      <c r="F607"/>
      <c r="G607"/>
      <c r="H607"/>
      <c r="J607" s="26"/>
      <c r="K607" s="26"/>
      <c r="L607" s="26"/>
      <c r="M607" s="26"/>
      <c r="O607" s="26"/>
      <c r="P607" s="26"/>
      <c r="Q607" s="26"/>
      <c r="R607" s="26"/>
    </row>
    <row r="608" spans="2:18" ht="16.5" x14ac:dyDescent="0.3">
      <c r="B608" s="343" t="s">
        <v>9</v>
      </c>
      <c r="C608" s="344" t="s">
        <v>1336</v>
      </c>
      <c r="D608" s="345" t="s">
        <v>64</v>
      </c>
      <c r="F608"/>
      <c r="G608"/>
      <c r="H608"/>
      <c r="J608" s="26"/>
      <c r="K608" s="26"/>
      <c r="L608" s="26"/>
      <c r="M608" s="26"/>
      <c r="O608" s="26"/>
      <c r="P608" s="26"/>
      <c r="Q608" s="26"/>
      <c r="R608" s="26"/>
    </row>
    <row r="609" spans="2:18" ht="16.5" x14ac:dyDescent="0.3">
      <c r="B609" s="343" t="s">
        <v>9</v>
      </c>
      <c r="C609" s="344" t="s">
        <v>1336</v>
      </c>
      <c r="D609" s="345" t="s">
        <v>702</v>
      </c>
      <c r="F609"/>
      <c r="G609"/>
      <c r="H609"/>
      <c r="J609" s="26"/>
      <c r="K609" s="26"/>
      <c r="L609" s="26"/>
      <c r="M609" s="26"/>
      <c r="O609" s="26"/>
      <c r="P609" s="26"/>
      <c r="Q609" s="26"/>
      <c r="R609" s="26"/>
    </row>
    <row r="610" spans="2:18" ht="16.5" x14ac:dyDescent="0.3">
      <c r="B610" s="343" t="s">
        <v>9</v>
      </c>
      <c r="C610" s="344" t="s">
        <v>1336</v>
      </c>
      <c r="D610" s="345" t="s">
        <v>66</v>
      </c>
      <c r="F610"/>
      <c r="G610"/>
      <c r="H610"/>
      <c r="J610" s="26"/>
      <c r="K610" s="26"/>
      <c r="L610" s="26"/>
      <c r="M610" s="26"/>
      <c r="O610" s="26"/>
      <c r="P610" s="26"/>
      <c r="Q610" s="26"/>
      <c r="R610" s="26"/>
    </row>
    <row r="611" spans="2:18" ht="16.5" x14ac:dyDescent="0.3">
      <c r="B611" s="343" t="s">
        <v>9</v>
      </c>
      <c r="C611" s="344" t="s">
        <v>1336</v>
      </c>
      <c r="D611" s="345" t="s">
        <v>703</v>
      </c>
      <c r="F611"/>
      <c r="G611"/>
      <c r="H611"/>
      <c r="J611" s="26"/>
      <c r="K611" s="26"/>
      <c r="L611" s="26"/>
      <c r="M611" s="26"/>
      <c r="O611" s="26"/>
      <c r="P611" s="26"/>
      <c r="Q611" s="26"/>
      <c r="R611" s="26"/>
    </row>
    <row r="612" spans="2:18" ht="16.5" x14ac:dyDescent="0.3">
      <c r="B612" s="343" t="s">
        <v>9</v>
      </c>
      <c r="C612" s="344" t="s">
        <v>1336</v>
      </c>
      <c r="D612" s="345" t="s">
        <v>704</v>
      </c>
      <c r="F612"/>
      <c r="G612"/>
      <c r="H612"/>
      <c r="J612" s="26"/>
      <c r="K612" s="26"/>
      <c r="L612" s="26"/>
      <c r="M612" s="26"/>
      <c r="O612" s="26"/>
      <c r="P612" s="26"/>
      <c r="Q612" s="26"/>
      <c r="R612" s="26"/>
    </row>
    <row r="613" spans="2:18" ht="16.5" x14ac:dyDescent="0.3">
      <c r="B613" s="343" t="s">
        <v>9</v>
      </c>
      <c r="C613" s="344" t="s">
        <v>1336</v>
      </c>
      <c r="D613" s="345" t="s">
        <v>65</v>
      </c>
      <c r="F613"/>
      <c r="G613"/>
      <c r="H613"/>
      <c r="J613" s="26"/>
      <c r="K613" s="26"/>
      <c r="L613" s="26"/>
      <c r="M613" s="26"/>
      <c r="O613" s="26"/>
      <c r="P613" s="26"/>
      <c r="Q613" s="26"/>
      <c r="R613" s="26"/>
    </row>
    <row r="614" spans="2:18" ht="16.5" x14ac:dyDescent="0.3">
      <c r="B614" s="343" t="s">
        <v>9</v>
      </c>
      <c r="C614" s="344" t="s">
        <v>1336</v>
      </c>
      <c r="D614" s="345" t="s">
        <v>156</v>
      </c>
      <c r="F614"/>
      <c r="G614"/>
      <c r="H614"/>
      <c r="J614" s="26"/>
      <c r="K614" s="26"/>
      <c r="L614" s="26"/>
      <c r="M614" s="26"/>
      <c r="O614" s="26"/>
      <c r="P614" s="26"/>
      <c r="Q614" s="26"/>
      <c r="R614" s="26"/>
    </row>
    <row r="615" spans="2:18" ht="16.5" x14ac:dyDescent="0.3">
      <c r="B615" s="343" t="s">
        <v>9</v>
      </c>
      <c r="C615" s="344" t="s">
        <v>1336</v>
      </c>
      <c r="D615" s="345" t="s">
        <v>67</v>
      </c>
      <c r="F615"/>
      <c r="G615"/>
      <c r="H615"/>
      <c r="J615" s="26"/>
      <c r="K615" s="26"/>
      <c r="L615" s="26"/>
      <c r="M615" s="26"/>
      <c r="O615" s="26"/>
      <c r="P615" s="26"/>
      <c r="Q615" s="26"/>
      <c r="R615" s="26"/>
    </row>
    <row r="616" spans="2:18" ht="16.5" x14ac:dyDescent="0.3">
      <c r="B616" s="343" t="s">
        <v>9</v>
      </c>
      <c r="C616" s="344" t="s">
        <v>1336</v>
      </c>
      <c r="D616" s="345" t="s">
        <v>705</v>
      </c>
      <c r="F616"/>
      <c r="G616"/>
      <c r="H616"/>
      <c r="J616" s="26"/>
      <c r="K616" s="26"/>
      <c r="L616" s="26"/>
      <c r="M616" s="26"/>
      <c r="O616" s="26"/>
      <c r="P616" s="26"/>
      <c r="Q616" s="26"/>
      <c r="R616" s="26"/>
    </row>
    <row r="617" spans="2:18" ht="16.5" x14ac:dyDescent="0.3">
      <c r="B617" s="343" t="s">
        <v>9</v>
      </c>
      <c r="C617" s="344" t="s">
        <v>1336</v>
      </c>
      <c r="D617" s="345" t="s">
        <v>69</v>
      </c>
      <c r="F617"/>
      <c r="G617"/>
      <c r="H617"/>
      <c r="J617" s="26"/>
      <c r="K617" s="26"/>
      <c r="L617" s="26"/>
      <c r="M617" s="26"/>
      <c r="O617" s="26"/>
      <c r="P617" s="26"/>
      <c r="Q617" s="26"/>
      <c r="R617" s="26"/>
    </row>
    <row r="618" spans="2:18" ht="16.5" x14ac:dyDescent="0.3">
      <c r="B618" s="343" t="s">
        <v>9</v>
      </c>
      <c r="C618" s="344" t="s">
        <v>1336</v>
      </c>
      <c r="D618" s="345" t="s">
        <v>68</v>
      </c>
      <c r="F618"/>
      <c r="G618"/>
      <c r="H618"/>
      <c r="J618" s="26"/>
      <c r="K618" s="26"/>
      <c r="L618" s="26"/>
      <c r="M618" s="26"/>
      <c r="O618" s="26"/>
      <c r="P618" s="26"/>
      <c r="Q618" s="26"/>
      <c r="R618" s="26"/>
    </row>
    <row r="619" spans="2:18" ht="16.5" x14ac:dyDescent="0.3">
      <c r="B619" s="343" t="s">
        <v>9</v>
      </c>
      <c r="C619" s="344" t="s">
        <v>1336</v>
      </c>
      <c r="D619" s="345" t="s">
        <v>706</v>
      </c>
      <c r="F619"/>
      <c r="G619"/>
      <c r="H619"/>
      <c r="J619" s="26"/>
      <c r="K619" s="26"/>
      <c r="L619" s="26"/>
      <c r="M619" s="26"/>
      <c r="O619" s="26"/>
      <c r="P619" s="26"/>
      <c r="Q619" s="26"/>
      <c r="R619" s="26"/>
    </row>
    <row r="620" spans="2:18" ht="16.5" x14ac:dyDescent="0.3">
      <c r="B620" s="343" t="s">
        <v>9</v>
      </c>
      <c r="C620" s="344" t="s">
        <v>1337</v>
      </c>
      <c r="D620" s="345" t="s">
        <v>1338</v>
      </c>
      <c r="F620"/>
      <c r="G620"/>
      <c r="H620"/>
      <c r="J620" s="26"/>
      <c r="K620" s="26"/>
      <c r="L620" s="26"/>
      <c r="M620" s="26"/>
      <c r="O620" s="26"/>
      <c r="P620" s="26"/>
      <c r="Q620" s="26"/>
      <c r="R620" s="26"/>
    </row>
    <row r="621" spans="2:18" ht="16.5" x14ac:dyDescent="0.3">
      <c r="B621" s="343" t="s">
        <v>9</v>
      </c>
      <c r="C621" s="344" t="s">
        <v>1337</v>
      </c>
      <c r="D621" s="345" t="s">
        <v>1248</v>
      </c>
      <c r="F621"/>
      <c r="G621"/>
      <c r="H621"/>
      <c r="J621" s="26"/>
      <c r="K621" s="26"/>
      <c r="L621" s="26"/>
      <c r="M621" s="26"/>
      <c r="O621" s="26"/>
      <c r="P621" s="26"/>
      <c r="Q621" s="26"/>
      <c r="R621" s="26"/>
    </row>
    <row r="622" spans="2:18" ht="16.5" x14ac:dyDescent="0.3">
      <c r="B622" s="343" t="s">
        <v>9</v>
      </c>
      <c r="C622" s="344" t="s">
        <v>1337</v>
      </c>
      <c r="D622" s="345" t="s">
        <v>1339</v>
      </c>
      <c r="F622"/>
      <c r="G622"/>
      <c r="H622"/>
      <c r="J622" s="26"/>
      <c r="K622" s="26"/>
      <c r="L622" s="26"/>
      <c r="M622" s="26"/>
      <c r="O622" s="26"/>
      <c r="P622" s="26"/>
      <c r="Q622" s="26"/>
      <c r="R622" s="26"/>
    </row>
    <row r="623" spans="2:18" ht="16.5" x14ac:dyDescent="0.3">
      <c r="B623" s="343" t="s">
        <v>9</v>
      </c>
      <c r="C623" s="344" t="s">
        <v>1337</v>
      </c>
      <c r="D623" s="345" t="s">
        <v>1340</v>
      </c>
      <c r="F623"/>
      <c r="G623"/>
      <c r="H623"/>
      <c r="J623" s="26"/>
      <c r="K623" s="26"/>
      <c r="L623" s="26"/>
      <c r="M623" s="26"/>
      <c r="O623" s="26"/>
      <c r="P623" s="26"/>
      <c r="Q623" s="26"/>
      <c r="R623" s="26"/>
    </row>
    <row r="624" spans="2:18" ht="16.5" x14ac:dyDescent="0.3">
      <c r="B624" s="343" t="s">
        <v>9</v>
      </c>
      <c r="C624" s="344" t="s">
        <v>1337</v>
      </c>
      <c r="D624" s="345" t="s">
        <v>1249</v>
      </c>
      <c r="F624"/>
      <c r="G624"/>
      <c r="H624"/>
      <c r="J624" s="26"/>
      <c r="K624" s="26"/>
      <c r="L624" s="26"/>
      <c r="M624" s="26"/>
      <c r="O624" s="26"/>
      <c r="P624" s="26"/>
      <c r="Q624" s="26"/>
      <c r="R624" s="26"/>
    </row>
    <row r="625" spans="2:18" ht="16.5" x14ac:dyDescent="0.3">
      <c r="B625" s="343" t="s">
        <v>9</v>
      </c>
      <c r="C625" s="344" t="s">
        <v>1337</v>
      </c>
      <c r="D625" s="345" t="s">
        <v>1341</v>
      </c>
      <c r="F625"/>
      <c r="G625"/>
      <c r="H625"/>
      <c r="J625" s="26"/>
      <c r="K625" s="26"/>
      <c r="L625" s="26"/>
      <c r="M625" s="26"/>
      <c r="O625" s="26"/>
      <c r="P625" s="26"/>
      <c r="Q625" s="26"/>
      <c r="R625" s="26"/>
    </row>
    <row r="626" spans="2:18" ht="16.5" x14ac:dyDescent="0.3">
      <c r="B626" s="343" t="s">
        <v>9</v>
      </c>
      <c r="C626" s="344" t="s">
        <v>1337</v>
      </c>
      <c r="D626" s="345" t="s">
        <v>1342</v>
      </c>
      <c r="F626"/>
      <c r="G626"/>
      <c r="H626"/>
      <c r="J626" s="26"/>
      <c r="K626" s="26"/>
      <c r="L626" s="26"/>
      <c r="M626" s="26"/>
      <c r="O626" s="26"/>
      <c r="P626" s="26"/>
      <c r="Q626" s="26"/>
      <c r="R626" s="26"/>
    </row>
    <row r="627" spans="2:18" ht="16.5" x14ac:dyDescent="0.3">
      <c r="B627" s="343" t="s">
        <v>9</v>
      </c>
      <c r="C627" s="344" t="s">
        <v>1337</v>
      </c>
      <c r="D627" s="345" t="s">
        <v>1343</v>
      </c>
      <c r="F627"/>
      <c r="G627"/>
      <c r="H627"/>
      <c r="J627" s="26"/>
      <c r="K627" s="26"/>
      <c r="L627" s="26"/>
      <c r="M627" s="26"/>
      <c r="O627" s="26"/>
      <c r="P627" s="26"/>
      <c r="Q627" s="26"/>
      <c r="R627" s="26"/>
    </row>
    <row r="628" spans="2:18" ht="16.5" x14ac:dyDescent="0.3">
      <c r="B628" s="343" t="s">
        <v>382</v>
      </c>
      <c r="C628" s="344" t="s">
        <v>707</v>
      </c>
      <c r="D628" s="345" t="s">
        <v>708</v>
      </c>
      <c r="F628"/>
      <c r="G628"/>
      <c r="H628"/>
      <c r="J628" s="26"/>
      <c r="K628" s="26"/>
      <c r="L628" s="26"/>
      <c r="M628" s="26"/>
      <c r="O628" s="26"/>
      <c r="P628" s="26"/>
      <c r="Q628" s="26"/>
      <c r="R628" s="26"/>
    </row>
    <row r="629" spans="2:18" ht="16.5" x14ac:dyDescent="0.3">
      <c r="B629" s="343" t="s">
        <v>382</v>
      </c>
      <c r="C629" s="344" t="s">
        <v>709</v>
      </c>
      <c r="D629" s="345" t="s">
        <v>710</v>
      </c>
      <c r="F629"/>
      <c r="G629"/>
      <c r="H629"/>
      <c r="J629" s="26"/>
      <c r="K629" s="26"/>
      <c r="L629" s="26"/>
      <c r="M629" s="26"/>
      <c r="O629" s="26"/>
      <c r="P629" s="26"/>
      <c r="Q629" s="26"/>
      <c r="R629" s="26"/>
    </row>
    <row r="630" spans="2:18" ht="16.5" x14ac:dyDescent="0.3">
      <c r="B630" s="343" t="s">
        <v>382</v>
      </c>
      <c r="C630" s="344" t="s">
        <v>711</v>
      </c>
      <c r="D630" s="345" t="s">
        <v>712</v>
      </c>
      <c r="F630"/>
      <c r="G630"/>
      <c r="H630"/>
      <c r="J630" s="26"/>
      <c r="K630" s="26"/>
      <c r="L630" s="26"/>
      <c r="M630" s="26"/>
      <c r="O630" s="26"/>
      <c r="P630" s="26"/>
      <c r="Q630" s="26"/>
      <c r="R630" s="26"/>
    </row>
    <row r="631" spans="2:18" ht="16.5" x14ac:dyDescent="0.3">
      <c r="B631" s="343" t="s">
        <v>382</v>
      </c>
      <c r="C631" s="344" t="s">
        <v>713</v>
      </c>
      <c r="D631" s="345" t="s">
        <v>714</v>
      </c>
      <c r="F631"/>
      <c r="G631"/>
      <c r="H631"/>
      <c r="J631" s="26"/>
      <c r="K631" s="26"/>
      <c r="L631" s="26"/>
      <c r="M631" s="26"/>
      <c r="O631" s="26"/>
      <c r="P631" s="26"/>
      <c r="Q631" s="26"/>
      <c r="R631" s="26"/>
    </row>
    <row r="632" spans="2:18" ht="16.5" x14ac:dyDescent="0.3">
      <c r="B632" s="343" t="s">
        <v>382</v>
      </c>
      <c r="C632" s="344" t="s">
        <v>713</v>
      </c>
      <c r="D632" s="345" t="s">
        <v>715</v>
      </c>
      <c r="F632"/>
      <c r="G632"/>
      <c r="H632"/>
      <c r="J632" s="26"/>
      <c r="K632" s="26"/>
      <c r="L632" s="26"/>
      <c r="M632" s="26"/>
      <c r="O632" s="26"/>
      <c r="P632" s="26"/>
      <c r="Q632" s="26"/>
      <c r="R632" s="26"/>
    </row>
    <row r="633" spans="2:18" ht="16.5" x14ac:dyDescent="0.3">
      <c r="B633" s="343" t="s">
        <v>382</v>
      </c>
      <c r="C633" s="344" t="s">
        <v>707</v>
      </c>
      <c r="D633" s="345" t="s">
        <v>716</v>
      </c>
      <c r="F633"/>
      <c r="G633"/>
      <c r="H633"/>
      <c r="J633" s="26"/>
      <c r="K633" s="26"/>
      <c r="L633" s="26"/>
      <c r="M633" s="26"/>
      <c r="O633" s="26"/>
      <c r="P633" s="26"/>
      <c r="Q633" s="26"/>
      <c r="R633" s="26"/>
    </row>
    <row r="634" spans="2:18" ht="16.5" x14ac:dyDescent="0.3">
      <c r="B634" s="343" t="s">
        <v>382</v>
      </c>
      <c r="C634" s="344" t="s">
        <v>709</v>
      </c>
      <c r="D634" s="345" t="s">
        <v>717</v>
      </c>
      <c r="F634"/>
      <c r="G634"/>
      <c r="H634"/>
      <c r="J634" s="26"/>
      <c r="K634" s="26"/>
      <c r="L634" s="26"/>
      <c r="M634" s="26"/>
      <c r="O634" s="26"/>
      <c r="P634" s="26"/>
      <c r="Q634" s="26"/>
      <c r="R634" s="26"/>
    </row>
    <row r="635" spans="2:18" ht="16.5" x14ac:dyDescent="0.3">
      <c r="B635" s="343" t="s">
        <v>382</v>
      </c>
      <c r="C635" s="344" t="s">
        <v>709</v>
      </c>
      <c r="D635" s="345" t="s">
        <v>718</v>
      </c>
      <c r="F635"/>
      <c r="G635"/>
      <c r="H635"/>
      <c r="J635" s="26"/>
      <c r="K635" s="26"/>
      <c r="L635" s="26"/>
      <c r="M635" s="26"/>
      <c r="O635" s="26"/>
      <c r="P635" s="26"/>
      <c r="Q635" s="26"/>
      <c r="R635" s="26"/>
    </row>
    <row r="636" spans="2:18" ht="16.5" x14ac:dyDescent="0.3">
      <c r="B636" s="343" t="s">
        <v>382</v>
      </c>
      <c r="C636" s="344" t="s">
        <v>709</v>
      </c>
      <c r="D636" s="345" t="s">
        <v>719</v>
      </c>
      <c r="F636"/>
      <c r="G636"/>
      <c r="H636"/>
      <c r="J636" s="26"/>
      <c r="K636" s="26"/>
      <c r="L636" s="26"/>
      <c r="M636" s="26"/>
      <c r="O636" s="26"/>
      <c r="P636" s="26"/>
      <c r="Q636" s="26"/>
      <c r="R636" s="26"/>
    </row>
    <row r="637" spans="2:18" ht="16.5" x14ac:dyDescent="0.3">
      <c r="B637" s="343" t="s">
        <v>382</v>
      </c>
      <c r="C637" s="344" t="s">
        <v>707</v>
      </c>
      <c r="D637" s="345" t="s">
        <v>720</v>
      </c>
      <c r="F637"/>
      <c r="G637"/>
      <c r="H637"/>
      <c r="J637" s="26"/>
      <c r="K637" s="26"/>
      <c r="L637" s="26"/>
      <c r="M637" s="26"/>
      <c r="O637" s="26"/>
      <c r="P637" s="26"/>
      <c r="Q637" s="26"/>
      <c r="R637" s="26"/>
    </row>
    <row r="638" spans="2:18" ht="16.5" x14ac:dyDescent="0.3">
      <c r="B638" s="343" t="s">
        <v>382</v>
      </c>
      <c r="C638" s="344" t="s">
        <v>707</v>
      </c>
      <c r="D638" s="345" t="s">
        <v>721</v>
      </c>
      <c r="F638"/>
      <c r="G638"/>
      <c r="H638"/>
      <c r="J638" s="26"/>
      <c r="K638" s="26"/>
      <c r="L638" s="26"/>
      <c r="M638" s="26"/>
      <c r="O638" s="26"/>
      <c r="P638" s="26"/>
      <c r="Q638" s="26"/>
      <c r="R638" s="26"/>
    </row>
    <row r="639" spans="2:18" ht="16.5" x14ac:dyDescent="0.3">
      <c r="B639" s="343" t="s">
        <v>382</v>
      </c>
      <c r="C639" s="344" t="s">
        <v>713</v>
      </c>
      <c r="D639" s="345" t="s">
        <v>722</v>
      </c>
      <c r="F639"/>
      <c r="G639"/>
      <c r="H639"/>
      <c r="J639" s="26"/>
      <c r="K639" s="26"/>
      <c r="L639" s="26"/>
      <c r="M639" s="26"/>
      <c r="O639" s="26"/>
      <c r="P639" s="26"/>
      <c r="Q639" s="26"/>
      <c r="R639" s="26"/>
    </row>
    <row r="640" spans="2:18" ht="16.5" x14ac:dyDescent="0.3">
      <c r="B640" s="343" t="s">
        <v>382</v>
      </c>
      <c r="C640" s="344" t="s">
        <v>709</v>
      </c>
      <c r="D640" s="345" t="s">
        <v>723</v>
      </c>
      <c r="F640"/>
      <c r="G640"/>
      <c r="H640"/>
      <c r="J640" s="26"/>
      <c r="K640" s="26"/>
      <c r="L640" s="26"/>
      <c r="M640" s="26"/>
      <c r="O640" s="26"/>
      <c r="P640" s="26"/>
      <c r="Q640" s="26"/>
      <c r="R640" s="26"/>
    </row>
    <row r="641" spans="2:18" ht="16.5" x14ac:dyDescent="0.3">
      <c r="B641" s="343" t="s">
        <v>382</v>
      </c>
      <c r="C641" s="344" t="s">
        <v>709</v>
      </c>
      <c r="D641" s="345" t="s">
        <v>724</v>
      </c>
      <c r="F641"/>
      <c r="G641"/>
      <c r="H641"/>
      <c r="J641" s="26"/>
      <c r="K641" s="26"/>
      <c r="L641" s="26"/>
      <c r="M641" s="26"/>
      <c r="O641" s="26"/>
      <c r="P641" s="26"/>
      <c r="Q641" s="26"/>
      <c r="R641" s="26"/>
    </row>
    <row r="642" spans="2:18" ht="16.5" x14ac:dyDescent="0.3">
      <c r="B642" s="343" t="s">
        <v>382</v>
      </c>
      <c r="C642" s="344" t="s">
        <v>709</v>
      </c>
      <c r="D642" s="345" t="s">
        <v>725</v>
      </c>
      <c r="F642"/>
      <c r="G642"/>
      <c r="H642"/>
      <c r="J642" s="26"/>
      <c r="K642" s="26"/>
      <c r="L642" s="26"/>
      <c r="M642" s="26"/>
      <c r="O642" s="26"/>
      <c r="P642" s="26"/>
      <c r="Q642" s="26"/>
      <c r="R642" s="26"/>
    </row>
    <row r="643" spans="2:18" ht="16.5" x14ac:dyDescent="0.3">
      <c r="B643" s="343" t="s">
        <v>382</v>
      </c>
      <c r="C643" s="344" t="s">
        <v>707</v>
      </c>
      <c r="D643" s="345" t="s">
        <v>726</v>
      </c>
      <c r="F643"/>
      <c r="G643"/>
      <c r="H643"/>
      <c r="J643" s="26"/>
      <c r="K643" s="26"/>
      <c r="L643" s="26"/>
      <c r="M643" s="26"/>
      <c r="O643" s="26"/>
      <c r="P643" s="26"/>
      <c r="Q643" s="26"/>
      <c r="R643" s="26"/>
    </row>
    <row r="644" spans="2:18" ht="16.5" x14ac:dyDescent="0.3">
      <c r="B644" s="343" t="s">
        <v>382</v>
      </c>
      <c r="C644" s="344" t="s">
        <v>713</v>
      </c>
      <c r="D644" s="345" t="s">
        <v>727</v>
      </c>
      <c r="F644"/>
      <c r="G644"/>
      <c r="H644"/>
      <c r="J644" s="26"/>
      <c r="K644" s="26"/>
      <c r="L644" s="26"/>
      <c r="M644" s="26"/>
      <c r="O644" s="26"/>
      <c r="P644" s="26"/>
      <c r="Q644" s="26"/>
      <c r="R644" s="26"/>
    </row>
    <row r="645" spans="2:18" ht="16.5" x14ac:dyDescent="0.3">
      <c r="B645" s="343" t="s">
        <v>382</v>
      </c>
      <c r="C645" s="344" t="s">
        <v>713</v>
      </c>
      <c r="D645" s="345" t="s">
        <v>728</v>
      </c>
      <c r="F645"/>
      <c r="G645"/>
      <c r="H645"/>
      <c r="J645" s="26"/>
      <c r="K645" s="26"/>
      <c r="L645" s="26"/>
      <c r="M645" s="26"/>
      <c r="O645" s="26"/>
      <c r="P645" s="26"/>
      <c r="Q645" s="26"/>
      <c r="R645" s="26"/>
    </row>
    <row r="646" spans="2:18" ht="16.5" x14ac:dyDescent="0.3">
      <c r="B646" s="343" t="s">
        <v>382</v>
      </c>
      <c r="C646" s="344" t="s">
        <v>729</v>
      </c>
      <c r="D646" s="345" t="s">
        <v>730</v>
      </c>
      <c r="F646"/>
      <c r="G646"/>
      <c r="H646"/>
      <c r="J646" s="26"/>
      <c r="K646" s="26"/>
      <c r="L646" s="26"/>
      <c r="M646" s="26"/>
      <c r="O646" s="26"/>
      <c r="P646" s="26"/>
      <c r="Q646" s="26"/>
      <c r="R646" s="26"/>
    </row>
    <row r="647" spans="2:18" ht="16.5" x14ac:dyDescent="0.3">
      <c r="B647" s="343" t="s">
        <v>382</v>
      </c>
      <c r="C647" s="344" t="s">
        <v>707</v>
      </c>
      <c r="D647" s="345" t="s">
        <v>731</v>
      </c>
      <c r="F647"/>
      <c r="G647"/>
      <c r="H647"/>
      <c r="J647" s="26"/>
      <c r="K647" s="26"/>
      <c r="L647" s="26"/>
      <c r="M647" s="26"/>
      <c r="O647" s="26"/>
      <c r="P647" s="26"/>
      <c r="Q647" s="26"/>
      <c r="R647" s="26"/>
    </row>
    <row r="648" spans="2:18" ht="16.5" x14ac:dyDescent="0.3">
      <c r="B648" s="343" t="s">
        <v>382</v>
      </c>
      <c r="C648" s="344" t="s">
        <v>729</v>
      </c>
      <c r="D648" s="345" t="s">
        <v>732</v>
      </c>
      <c r="F648"/>
      <c r="G648"/>
      <c r="H648"/>
      <c r="J648" s="26"/>
      <c r="K648" s="26"/>
      <c r="L648" s="26"/>
      <c r="M648" s="26"/>
      <c r="O648" s="26"/>
      <c r="P648" s="26"/>
      <c r="Q648" s="26"/>
      <c r="R648" s="26"/>
    </row>
    <row r="649" spans="2:18" ht="16.5" x14ac:dyDescent="0.3">
      <c r="B649" s="343" t="s">
        <v>382</v>
      </c>
      <c r="C649" s="344" t="s">
        <v>713</v>
      </c>
      <c r="D649" s="345" t="s">
        <v>733</v>
      </c>
      <c r="F649"/>
      <c r="G649"/>
      <c r="H649"/>
      <c r="J649" s="26"/>
      <c r="K649" s="26"/>
      <c r="L649" s="26"/>
      <c r="M649" s="26"/>
      <c r="O649" s="26"/>
      <c r="P649" s="26"/>
      <c r="Q649" s="26"/>
      <c r="R649" s="26"/>
    </row>
    <row r="650" spans="2:18" ht="16.5" x14ac:dyDescent="0.3">
      <c r="B650" s="343" t="s">
        <v>382</v>
      </c>
      <c r="C650" s="344" t="s">
        <v>729</v>
      </c>
      <c r="D650" s="345" t="s">
        <v>734</v>
      </c>
      <c r="F650"/>
      <c r="G650"/>
      <c r="H650"/>
      <c r="J650" s="26"/>
      <c r="K650" s="26"/>
      <c r="L650" s="26"/>
      <c r="M650" s="26"/>
      <c r="O650" s="26"/>
      <c r="P650" s="26"/>
      <c r="Q650" s="26"/>
      <c r="R650" s="26"/>
    </row>
    <row r="651" spans="2:18" ht="16.5" x14ac:dyDescent="0.3">
      <c r="B651" s="343" t="s">
        <v>382</v>
      </c>
      <c r="C651" s="344" t="s">
        <v>707</v>
      </c>
      <c r="D651" s="345" t="s">
        <v>735</v>
      </c>
      <c r="F651"/>
      <c r="G651"/>
      <c r="H651"/>
      <c r="J651" s="26"/>
      <c r="K651" s="26"/>
      <c r="L651" s="26"/>
      <c r="M651" s="26"/>
      <c r="O651" s="26"/>
      <c r="P651" s="26"/>
      <c r="Q651" s="26"/>
      <c r="R651" s="26"/>
    </row>
    <row r="652" spans="2:18" ht="16.5" x14ac:dyDescent="0.3">
      <c r="B652" s="343" t="s">
        <v>382</v>
      </c>
      <c r="C652" s="344" t="s">
        <v>729</v>
      </c>
      <c r="D652" s="345" t="s">
        <v>736</v>
      </c>
      <c r="F652"/>
      <c r="G652"/>
      <c r="H652"/>
      <c r="J652" s="26"/>
      <c r="K652" s="26"/>
      <c r="L652" s="26"/>
      <c r="M652" s="26"/>
      <c r="O652" s="26"/>
      <c r="P652" s="26"/>
      <c r="Q652" s="26"/>
      <c r="R652" s="26"/>
    </row>
    <row r="653" spans="2:18" ht="16.5" x14ac:dyDescent="0.3">
      <c r="B653" s="343" t="s">
        <v>382</v>
      </c>
      <c r="C653" s="344" t="s">
        <v>707</v>
      </c>
      <c r="D653" s="345" t="s">
        <v>737</v>
      </c>
      <c r="F653"/>
      <c r="G653"/>
      <c r="H653"/>
      <c r="J653" s="26"/>
      <c r="K653" s="26"/>
      <c r="L653" s="26"/>
      <c r="M653" s="26"/>
      <c r="O653" s="26"/>
      <c r="P653" s="26"/>
      <c r="Q653" s="26"/>
      <c r="R653" s="26"/>
    </row>
    <row r="654" spans="2:18" ht="16.5" x14ac:dyDescent="0.3">
      <c r="B654" s="343" t="s">
        <v>382</v>
      </c>
      <c r="C654" s="344" t="s">
        <v>711</v>
      </c>
      <c r="D654" s="345" t="s">
        <v>738</v>
      </c>
      <c r="F654"/>
      <c r="G654"/>
      <c r="H654"/>
      <c r="J654" s="26"/>
      <c r="K654" s="26"/>
      <c r="L654" s="26"/>
      <c r="M654" s="26"/>
      <c r="O654" s="26"/>
      <c r="P654" s="26"/>
      <c r="Q654" s="26"/>
      <c r="R654" s="26"/>
    </row>
    <row r="655" spans="2:18" ht="16.5" x14ac:dyDescent="0.3">
      <c r="B655" s="343" t="s">
        <v>382</v>
      </c>
      <c r="C655" s="344" t="s">
        <v>707</v>
      </c>
      <c r="D655" s="345" t="s">
        <v>739</v>
      </c>
      <c r="F655"/>
      <c r="G655"/>
      <c r="H655"/>
      <c r="J655" s="26"/>
      <c r="K655" s="26"/>
      <c r="L655" s="26"/>
      <c r="M655" s="26"/>
      <c r="O655" s="26"/>
      <c r="P655" s="26"/>
      <c r="Q655" s="26"/>
      <c r="R655" s="26"/>
    </row>
    <row r="656" spans="2:18" ht="16.5" x14ac:dyDescent="0.3">
      <c r="B656" s="343" t="s">
        <v>382</v>
      </c>
      <c r="C656" s="344" t="s">
        <v>707</v>
      </c>
      <c r="D656" s="345" t="s">
        <v>740</v>
      </c>
      <c r="F656"/>
      <c r="G656"/>
      <c r="H656"/>
      <c r="J656" s="26"/>
      <c r="K656" s="26"/>
      <c r="L656" s="26"/>
      <c r="M656" s="26"/>
      <c r="O656" s="26"/>
      <c r="P656" s="26"/>
      <c r="Q656" s="26"/>
      <c r="R656" s="26"/>
    </row>
    <row r="657" spans="2:18" ht="16.5" x14ac:dyDescent="0.3">
      <c r="B657" s="343" t="s">
        <v>382</v>
      </c>
      <c r="C657" s="344" t="s">
        <v>711</v>
      </c>
      <c r="D657" s="345" t="s">
        <v>741</v>
      </c>
      <c r="F657"/>
      <c r="G657"/>
      <c r="H657"/>
      <c r="J657" s="26"/>
      <c r="K657" s="26"/>
      <c r="L657" s="26"/>
      <c r="M657" s="26"/>
      <c r="O657" s="26"/>
      <c r="P657" s="26"/>
      <c r="Q657" s="26"/>
      <c r="R657" s="26"/>
    </row>
    <row r="658" spans="2:18" ht="16.5" x14ac:dyDescent="0.3">
      <c r="B658" s="343" t="s">
        <v>382</v>
      </c>
      <c r="C658" s="344" t="s">
        <v>729</v>
      </c>
      <c r="D658" s="345" t="s">
        <v>742</v>
      </c>
      <c r="F658"/>
      <c r="G658"/>
      <c r="H658"/>
      <c r="J658" s="26"/>
      <c r="K658" s="26"/>
      <c r="L658" s="26"/>
      <c r="M658" s="26"/>
      <c r="O658" s="26"/>
      <c r="P658" s="26"/>
      <c r="Q658" s="26"/>
      <c r="R658" s="26"/>
    </row>
    <row r="659" spans="2:18" ht="16.5" x14ac:dyDescent="0.3">
      <c r="B659" s="343" t="s">
        <v>382</v>
      </c>
      <c r="C659" s="344" t="s">
        <v>709</v>
      </c>
      <c r="D659" s="345" t="s">
        <v>743</v>
      </c>
      <c r="F659"/>
      <c r="G659"/>
      <c r="H659"/>
      <c r="J659" s="26"/>
      <c r="K659" s="26"/>
      <c r="L659" s="26"/>
      <c r="M659" s="26"/>
      <c r="O659" s="26"/>
      <c r="P659" s="26"/>
      <c r="Q659" s="26"/>
      <c r="R659" s="26"/>
    </row>
    <row r="660" spans="2:18" ht="16.5" x14ac:dyDescent="0.3">
      <c r="B660" s="343" t="s">
        <v>382</v>
      </c>
      <c r="C660" s="344" t="s">
        <v>709</v>
      </c>
      <c r="D660" s="345" t="s">
        <v>744</v>
      </c>
      <c r="F660"/>
      <c r="G660"/>
      <c r="H660"/>
      <c r="J660" s="26"/>
      <c r="K660" s="26"/>
      <c r="L660" s="26"/>
      <c r="M660" s="26"/>
      <c r="O660" s="26"/>
      <c r="P660" s="26"/>
      <c r="Q660" s="26"/>
      <c r="R660" s="26"/>
    </row>
    <row r="661" spans="2:18" ht="16.5" x14ac:dyDescent="0.3">
      <c r="B661" s="343" t="s">
        <v>382</v>
      </c>
      <c r="C661" s="344" t="s">
        <v>709</v>
      </c>
      <c r="D661" s="345" t="s">
        <v>745</v>
      </c>
      <c r="F661"/>
      <c r="G661"/>
      <c r="H661"/>
      <c r="J661" s="26"/>
      <c r="K661" s="26"/>
      <c r="L661" s="26"/>
      <c r="M661" s="26"/>
      <c r="O661" s="26"/>
      <c r="P661" s="26"/>
      <c r="Q661" s="26"/>
      <c r="R661" s="26"/>
    </row>
    <row r="662" spans="2:18" ht="16.5" x14ac:dyDescent="0.3">
      <c r="B662" s="343" t="s">
        <v>382</v>
      </c>
      <c r="C662" s="344" t="s">
        <v>713</v>
      </c>
      <c r="D662" s="345" t="s">
        <v>746</v>
      </c>
      <c r="F662"/>
      <c r="G662"/>
      <c r="H662"/>
      <c r="J662" s="26"/>
      <c r="K662" s="26"/>
      <c r="L662" s="26"/>
      <c r="M662" s="26"/>
      <c r="O662" s="26"/>
      <c r="P662" s="26"/>
      <c r="Q662" s="26"/>
      <c r="R662" s="26"/>
    </row>
    <row r="663" spans="2:18" ht="16.5" x14ac:dyDescent="0.3">
      <c r="B663" s="343" t="s">
        <v>382</v>
      </c>
      <c r="C663" s="344" t="s">
        <v>707</v>
      </c>
      <c r="D663" s="345" t="s">
        <v>747</v>
      </c>
      <c r="F663"/>
      <c r="G663"/>
      <c r="H663"/>
      <c r="J663" s="26"/>
      <c r="K663" s="26"/>
      <c r="L663" s="26"/>
      <c r="M663" s="26"/>
      <c r="O663" s="26"/>
      <c r="P663" s="26"/>
      <c r="Q663" s="26"/>
      <c r="R663" s="26"/>
    </row>
    <row r="664" spans="2:18" ht="16.5" x14ac:dyDescent="0.3">
      <c r="B664" s="343" t="s">
        <v>382</v>
      </c>
      <c r="C664" s="344" t="s">
        <v>707</v>
      </c>
      <c r="D664" s="345" t="s">
        <v>748</v>
      </c>
      <c r="F664"/>
      <c r="G664"/>
      <c r="H664"/>
      <c r="J664" s="26"/>
      <c r="K664" s="26"/>
      <c r="L664" s="26"/>
      <c r="M664" s="26"/>
      <c r="O664" s="26"/>
      <c r="P664" s="26"/>
      <c r="Q664" s="26"/>
      <c r="R664" s="26"/>
    </row>
    <row r="665" spans="2:18" ht="16.5" x14ac:dyDescent="0.3">
      <c r="B665" s="343" t="s">
        <v>382</v>
      </c>
      <c r="C665" s="344" t="s">
        <v>709</v>
      </c>
      <c r="D665" s="345" t="s">
        <v>749</v>
      </c>
      <c r="F665"/>
      <c r="G665"/>
      <c r="H665"/>
      <c r="J665" s="26"/>
      <c r="K665" s="26"/>
      <c r="L665" s="26"/>
      <c r="M665" s="26"/>
      <c r="O665" s="26"/>
      <c r="P665" s="26"/>
      <c r="Q665" s="26"/>
      <c r="R665" s="26"/>
    </row>
    <row r="666" spans="2:18" ht="16.5" x14ac:dyDescent="0.3">
      <c r="B666" s="343" t="s">
        <v>382</v>
      </c>
      <c r="C666" s="344" t="s">
        <v>713</v>
      </c>
      <c r="D666" s="345" t="s">
        <v>750</v>
      </c>
      <c r="F666"/>
      <c r="G666"/>
      <c r="H666"/>
      <c r="J666" s="26"/>
      <c r="K666" s="26"/>
      <c r="L666" s="26"/>
      <c r="M666" s="26"/>
      <c r="O666" s="26"/>
      <c r="P666" s="26"/>
      <c r="Q666" s="26"/>
      <c r="R666" s="26"/>
    </row>
    <row r="667" spans="2:18" ht="16.5" x14ac:dyDescent="0.3">
      <c r="B667" s="343" t="s">
        <v>382</v>
      </c>
      <c r="C667" s="344" t="s">
        <v>729</v>
      </c>
      <c r="D667" s="345" t="s">
        <v>751</v>
      </c>
      <c r="F667"/>
      <c r="G667"/>
      <c r="H667"/>
      <c r="J667" s="26"/>
      <c r="K667" s="26"/>
      <c r="L667" s="26"/>
      <c r="M667" s="26"/>
      <c r="O667" s="26"/>
      <c r="P667" s="26"/>
      <c r="Q667" s="26"/>
      <c r="R667" s="26"/>
    </row>
    <row r="668" spans="2:18" ht="16.5" x14ac:dyDescent="0.3">
      <c r="B668" s="343" t="s">
        <v>382</v>
      </c>
      <c r="C668" s="344" t="s">
        <v>713</v>
      </c>
      <c r="D668" s="345" t="s">
        <v>752</v>
      </c>
      <c r="F668"/>
      <c r="G668"/>
      <c r="H668"/>
      <c r="J668" s="26"/>
      <c r="K668" s="26"/>
      <c r="L668" s="26"/>
      <c r="M668" s="26"/>
      <c r="O668" s="26"/>
      <c r="P668" s="26"/>
      <c r="Q668" s="26"/>
      <c r="R668" s="26"/>
    </row>
    <row r="669" spans="2:18" ht="16.5" x14ac:dyDescent="0.3">
      <c r="B669" s="343" t="s">
        <v>382</v>
      </c>
      <c r="C669" s="344" t="s">
        <v>709</v>
      </c>
      <c r="D669" s="345" t="s">
        <v>753</v>
      </c>
      <c r="F669"/>
      <c r="G669"/>
      <c r="H669"/>
      <c r="J669" s="26"/>
      <c r="K669" s="26"/>
      <c r="L669" s="26"/>
      <c r="M669" s="26"/>
      <c r="O669" s="26"/>
      <c r="P669" s="26"/>
      <c r="Q669" s="26"/>
      <c r="R669" s="26"/>
    </row>
    <row r="670" spans="2:18" ht="16.5" x14ac:dyDescent="0.3">
      <c r="B670" s="343" t="s">
        <v>382</v>
      </c>
      <c r="C670" s="344" t="s">
        <v>709</v>
      </c>
      <c r="D670" s="345" t="s">
        <v>754</v>
      </c>
      <c r="F670"/>
      <c r="G670"/>
      <c r="H670"/>
      <c r="J670" s="26"/>
      <c r="K670" s="26"/>
      <c r="L670" s="26"/>
      <c r="M670" s="26"/>
      <c r="O670" s="26"/>
      <c r="P670" s="26"/>
      <c r="Q670" s="26"/>
      <c r="R670" s="26"/>
    </row>
    <row r="671" spans="2:18" ht="16.5" x14ac:dyDescent="0.3">
      <c r="B671" s="343" t="s">
        <v>382</v>
      </c>
      <c r="C671" s="344" t="s">
        <v>729</v>
      </c>
      <c r="D671" s="345" t="s">
        <v>755</v>
      </c>
      <c r="F671"/>
      <c r="G671"/>
      <c r="H671"/>
      <c r="J671" s="26"/>
      <c r="K671" s="26"/>
      <c r="L671" s="26"/>
      <c r="M671" s="26"/>
      <c r="O671" s="26"/>
      <c r="P671" s="26"/>
      <c r="Q671" s="26"/>
      <c r="R671" s="26"/>
    </row>
    <row r="672" spans="2:18" ht="16.5" x14ac:dyDescent="0.3">
      <c r="B672" s="343" t="s">
        <v>382</v>
      </c>
      <c r="C672" s="344" t="s">
        <v>713</v>
      </c>
      <c r="D672" s="345" t="s">
        <v>756</v>
      </c>
      <c r="F672"/>
      <c r="G672"/>
      <c r="H672"/>
      <c r="J672" s="26"/>
      <c r="K672" s="26"/>
      <c r="L672" s="26"/>
      <c r="M672" s="26"/>
      <c r="O672" s="26"/>
      <c r="P672" s="26"/>
      <c r="Q672" s="26"/>
      <c r="R672" s="26"/>
    </row>
    <row r="673" spans="2:18" ht="16.5" x14ac:dyDescent="0.3">
      <c r="B673" s="343" t="s">
        <v>382</v>
      </c>
      <c r="C673" s="344" t="s">
        <v>713</v>
      </c>
      <c r="D673" s="345" t="s">
        <v>757</v>
      </c>
      <c r="F673"/>
      <c r="G673"/>
      <c r="H673"/>
      <c r="J673" s="26"/>
      <c r="K673" s="26"/>
      <c r="L673" s="26"/>
      <c r="M673" s="26"/>
      <c r="O673" s="26"/>
      <c r="P673" s="26"/>
      <c r="Q673" s="26"/>
      <c r="R673" s="26"/>
    </row>
    <row r="674" spans="2:18" ht="16.5" x14ac:dyDescent="0.3">
      <c r="B674" s="343" t="s">
        <v>382</v>
      </c>
      <c r="C674" s="344" t="s">
        <v>713</v>
      </c>
      <c r="D674" s="345" t="s">
        <v>758</v>
      </c>
      <c r="F674"/>
      <c r="G674"/>
      <c r="H674"/>
      <c r="J674" s="26"/>
      <c r="K674" s="26"/>
      <c r="L674" s="26"/>
      <c r="M674" s="26"/>
      <c r="O674" s="26"/>
      <c r="P674" s="26"/>
      <c r="Q674" s="26"/>
      <c r="R674" s="26"/>
    </row>
    <row r="675" spans="2:18" ht="16.5" x14ac:dyDescent="0.3">
      <c r="B675" s="343" t="s">
        <v>382</v>
      </c>
      <c r="C675" s="344" t="s">
        <v>711</v>
      </c>
      <c r="D675" s="345" t="s">
        <v>759</v>
      </c>
      <c r="F675"/>
      <c r="G675"/>
      <c r="H675"/>
      <c r="J675" s="26"/>
      <c r="K675" s="26"/>
      <c r="L675" s="26"/>
      <c r="M675" s="26"/>
      <c r="O675" s="26"/>
      <c r="P675" s="26"/>
      <c r="Q675" s="26"/>
      <c r="R675" s="26"/>
    </row>
    <row r="676" spans="2:18" ht="16.5" x14ac:dyDescent="0.3">
      <c r="B676" s="343" t="s">
        <v>382</v>
      </c>
      <c r="C676" s="344" t="s">
        <v>713</v>
      </c>
      <c r="D676" s="345" t="s">
        <v>760</v>
      </c>
      <c r="F676"/>
      <c r="G676"/>
      <c r="H676"/>
      <c r="J676" s="26"/>
      <c r="K676" s="26"/>
      <c r="L676" s="26"/>
      <c r="M676" s="26"/>
      <c r="O676" s="26"/>
      <c r="P676" s="26"/>
      <c r="Q676" s="26"/>
      <c r="R676" s="26"/>
    </row>
    <row r="677" spans="2:18" ht="16.5" x14ac:dyDescent="0.3">
      <c r="B677" s="343" t="s">
        <v>382</v>
      </c>
      <c r="C677" s="344" t="s">
        <v>713</v>
      </c>
      <c r="D677" s="345" t="s">
        <v>761</v>
      </c>
      <c r="F677"/>
      <c r="G677"/>
      <c r="H677"/>
      <c r="J677" s="26"/>
      <c r="K677" s="26"/>
      <c r="L677" s="26"/>
      <c r="M677" s="26"/>
      <c r="O677" s="26"/>
      <c r="P677" s="26"/>
      <c r="Q677" s="26"/>
      <c r="R677" s="26"/>
    </row>
    <row r="678" spans="2:18" ht="16.5" x14ac:dyDescent="0.3">
      <c r="B678" s="343" t="s">
        <v>382</v>
      </c>
      <c r="C678" s="344" t="s">
        <v>729</v>
      </c>
      <c r="D678" s="345" t="s">
        <v>762</v>
      </c>
      <c r="F678"/>
      <c r="G678"/>
      <c r="H678"/>
      <c r="J678" s="26"/>
      <c r="K678" s="26"/>
      <c r="L678" s="26"/>
      <c r="M678" s="26"/>
      <c r="O678" s="26"/>
      <c r="P678" s="26"/>
      <c r="Q678" s="26"/>
      <c r="R678" s="26"/>
    </row>
    <row r="679" spans="2:18" ht="16.5" x14ac:dyDescent="0.3">
      <c r="B679" s="343" t="s">
        <v>382</v>
      </c>
      <c r="C679" s="344" t="s">
        <v>707</v>
      </c>
      <c r="D679" s="345" t="s">
        <v>763</v>
      </c>
      <c r="F679"/>
      <c r="G679"/>
      <c r="H679"/>
      <c r="J679" s="26"/>
      <c r="K679" s="26"/>
      <c r="L679" s="26"/>
      <c r="M679" s="26"/>
      <c r="O679" s="26"/>
      <c r="P679" s="26"/>
      <c r="Q679" s="26"/>
      <c r="R679" s="26"/>
    </row>
    <row r="680" spans="2:18" ht="16.5" x14ac:dyDescent="0.3">
      <c r="B680" s="343" t="s">
        <v>382</v>
      </c>
      <c r="C680" s="344" t="s">
        <v>713</v>
      </c>
      <c r="D680" s="345" t="s">
        <v>764</v>
      </c>
      <c r="F680"/>
      <c r="G680"/>
      <c r="H680"/>
      <c r="J680" s="26"/>
      <c r="K680" s="26"/>
      <c r="L680" s="26"/>
      <c r="M680" s="26"/>
      <c r="O680" s="26"/>
      <c r="P680" s="26"/>
      <c r="Q680" s="26"/>
      <c r="R680" s="26"/>
    </row>
    <row r="681" spans="2:18" ht="16.5" x14ac:dyDescent="0.3">
      <c r="B681" s="343" t="s">
        <v>382</v>
      </c>
      <c r="C681" s="344" t="s">
        <v>765</v>
      </c>
      <c r="D681" s="345" t="s">
        <v>766</v>
      </c>
      <c r="F681"/>
      <c r="G681"/>
      <c r="H681"/>
      <c r="J681" s="26"/>
      <c r="K681" s="26"/>
      <c r="L681" s="26"/>
      <c r="M681" s="26"/>
      <c r="O681" s="26"/>
      <c r="P681" s="26"/>
      <c r="Q681" s="26"/>
      <c r="R681" s="26"/>
    </row>
    <row r="682" spans="2:18" ht="16.5" x14ac:dyDescent="0.3">
      <c r="B682" s="343" t="s">
        <v>382</v>
      </c>
      <c r="C682" s="344" t="s">
        <v>765</v>
      </c>
      <c r="D682" s="345" t="s">
        <v>767</v>
      </c>
      <c r="F682"/>
      <c r="G682"/>
      <c r="H682"/>
      <c r="J682" s="26"/>
      <c r="K682" s="26"/>
      <c r="L682" s="26"/>
      <c r="M682" s="26"/>
      <c r="O682" s="26"/>
      <c r="P682" s="26"/>
      <c r="Q682" s="26"/>
      <c r="R682" s="26"/>
    </row>
    <row r="683" spans="2:18" ht="16.5" x14ac:dyDescent="0.3">
      <c r="B683" s="343" t="s">
        <v>382</v>
      </c>
      <c r="C683" s="344" t="s">
        <v>765</v>
      </c>
      <c r="D683" s="345" t="s">
        <v>768</v>
      </c>
      <c r="F683"/>
      <c r="G683"/>
      <c r="H683"/>
      <c r="J683" s="26"/>
      <c r="K683" s="26"/>
      <c r="L683" s="26"/>
      <c r="M683" s="26"/>
      <c r="O683" s="26"/>
      <c r="P683" s="26"/>
      <c r="Q683" s="26"/>
      <c r="R683" s="26"/>
    </row>
    <row r="684" spans="2:18" ht="16.5" x14ac:dyDescent="0.3">
      <c r="B684" s="343" t="s">
        <v>382</v>
      </c>
      <c r="C684" s="344" t="s">
        <v>729</v>
      </c>
      <c r="D684" s="345" t="s">
        <v>769</v>
      </c>
      <c r="F684"/>
      <c r="G684"/>
      <c r="H684"/>
      <c r="J684" s="26"/>
      <c r="K684" s="26"/>
      <c r="L684" s="26"/>
      <c r="M684" s="26"/>
      <c r="O684" s="26"/>
      <c r="P684" s="26"/>
      <c r="Q684" s="26"/>
      <c r="R684" s="26"/>
    </row>
    <row r="685" spans="2:18" ht="16.5" x14ac:dyDescent="0.3">
      <c r="B685" s="343" t="s">
        <v>382</v>
      </c>
      <c r="C685" s="344" t="s">
        <v>709</v>
      </c>
      <c r="D685" s="345" t="s">
        <v>770</v>
      </c>
      <c r="F685"/>
      <c r="G685"/>
      <c r="H685"/>
      <c r="J685" s="26"/>
      <c r="K685" s="26"/>
      <c r="L685" s="26"/>
      <c r="M685" s="26"/>
      <c r="O685" s="26"/>
      <c r="P685" s="26"/>
      <c r="Q685" s="26"/>
      <c r="R685" s="26"/>
    </row>
    <row r="686" spans="2:18" ht="16.5" x14ac:dyDescent="0.3">
      <c r="B686" s="343" t="s">
        <v>382</v>
      </c>
      <c r="C686" s="344" t="s">
        <v>709</v>
      </c>
      <c r="D686" s="345" t="s">
        <v>771</v>
      </c>
      <c r="F686"/>
      <c r="G686"/>
      <c r="H686"/>
      <c r="J686" s="26"/>
      <c r="K686" s="26"/>
      <c r="L686" s="26"/>
      <c r="M686" s="26"/>
      <c r="O686" s="26"/>
      <c r="P686" s="26"/>
      <c r="Q686" s="26"/>
      <c r="R686" s="26"/>
    </row>
    <row r="687" spans="2:18" ht="16.5" x14ac:dyDescent="0.3">
      <c r="B687" s="343" t="s">
        <v>382</v>
      </c>
      <c r="C687" s="344" t="s">
        <v>729</v>
      </c>
      <c r="D687" s="345" t="s">
        <v>772</v>
      </c>
      <c r="F687"/>
      <c r="G687"/>
      <c r="H687"/>
      <c r="J687" s="26"/>
      <c r="K687" s="26"/>
      <c r="L687" s="26"/>
      <c r="M687" s="26"/>
      <c r="O687" s="26"/>
      <c r="P687" s="26"/>
      <c r="Q687" s="26"/>
      <c r="R687" s="26"/>
    </row>
    <row r="688" spans="2:18" ht="16.5" x14ac:dyDescent="0.3">
      <c r="B688" s="343" t="s">
        <v>382</v>
      </c>
      <c r="C688" s="344" t="s">
        <v>709</v>
      </c>
      <c r="D688" s="345" t="s">
        <v>773</v>
      </c>
      <c r="F688"/>
      <c r="G688"/>
      <c r="H688"/>
      <c r="J688" s="26"/>
      <c r="K688" s="26"/>
      <c r="L688" s="26"/>
      <c r="M688" s="26"/>
      <c r="O688" s="26"/>
      <c r="P688" s="26"/>
      <c r="Q688" s="26"/>
      <c r="R688" s="26"/>
    </row>
    <row r="689" spans="2:18" ht="16.5" x14ac:dyDescent="0.3">
      <c r="B689" s="343" t="s">
        <v>382</v>
      </c>
      <c r="C689" s="344" t="s">
        <v>709</v>
      </c>
      <c r="D689" s="345" t="s">
        <v>774</v>
      </c>
      <c r="F689"/>
      <c r="G689"/>
      <c r="H689"/>
      <c r="J689" s="26"/>
      <c r="K689" s="26"/>
      <c r="L689" s="26"/>
      <c r="M689" s="26"/>
      <c r="O689" s="26"/>
      <c r="P689" s="26"/>
      <c r="Q689" s="26"/>
      <c r="R689" s="26"/>
    </row>
    <row r="690" spans="2:18" ht="16.5" x14ac:dyDescent="0.3">
      <c r="B690" s="343" t="s">
        <v>382</v>
      </c>
      <c r="C690" s="344" t="s">
        <v>709</v>
      </c>
      <c r="D690" s="345" t="s">
        <v>775</v>
      </c>
      <c r="F690"/>
      <c r="G690"/>
      <c r="H690"/>
      <c r="J690" s="26"/>
      <c r="K690" s="26"/>
      <c r="L690" s="26"/>
      <c r="M690" s="26"/>
      <c r="O690" s="26"/>
      <c r="P690" s="26"/>
      <c r="Q690" s="26"/>
      <c r="R690" s="26"/>
    </row>
    <row r="691" spans="2:18" ht="16.5" x14ac:dyDescent="0.3">
      <c r="B691" s="343" t="s">
        <v>382</v>
      </c>
      <c r="C691" s="344" t="s">
        <v>709</v>
      </c>
      <c r="D691" s="345" t="s">
        <v>776</v>
      </c>
      <c r="F691"/>
      <c r="G691"/>
      <c r="H691"/>
      <c r="J691" s="26"/>
      <c r="K691" s="26"/>
      <c r="L691" s="26"/>
      <c r="M691" s="26"/>
      <c r="O691" s="26"/>
      <c r="P691" s="26"/>
      <c r="Q691" s="26"/>
      <c r="R691" s="26"/>
    </row>
    <row r="692" spans="2:18" ht="16.5" x14ac:dyDescent="0.3">
      <c r="B692" s="343" t="s">
        <v>382</v>
      </c>
      <c r="C692" s="344" t="s">
        <v>709</v>
      </c>
      <c r="D692" s="345" t="s">
        <v>777</v>
      </c>
      <c r="F692"/>
      <c r="G692"/>
      <c r="H692"/>
      <c r="J692" s="26"/>
      <c r="K692" s="26"/>
      <c r="L692" s="26"/>
      <c r="M692" s="26"/>
      <c r="O692" s="26"/>
      <c r="P692" s="26"/>
      <c r="Q692" s="26"/>
      <c r="R692" s="26"/>
    </row>
    <row r="693" spans="2:18" ht="16.5" x14ac:dyDescent="0.3">
      <c r="B693" s="343" t="s">
        <v>382</v>
      </c>
      <c r="C693" s="344" t="s">
        <v>713</v>
      </c>
      <c r="D693" s="345" t="s">
        <v>778</v>
      </c>
      <c r="F693"/>
      <c r="G693"/>
      <c r="H693"/>
      <c r="J693" s="26"/>
      <c r="K693" s="26"/>
      <c r="L693" s="26"/>
      <c r="M693" s="26"/>
      <c r="O693" s="26"/>
      <c r="P693" s="26"/>
      <c r="Q693" s="26"/>
      <c r="R693" s="26"/>
    </row>
    <row r="694" spans="2:18" ht="16.5" x14ac:dyDescent="0.3">
      <c r="B694" s="343" t="s">
        <v>382</v>
      </c>
      <c r="C694" s="344" t="s">
        <v>709</v>
      </c>
      <c r="D694" s="345" t="s">
        <v>779</v>
      </c>
      <c r="F694"/>
      <c r="G694"/>
      <c r="H694"/>
      <c r="J694" s="26"/>
      <c r="K694" s="26"/>
      <c r="L694" s="26"/>
      <c r="M694" s="26"/>
      <c r="O694" s="26"/>
      <c r="P694" s="26"/>
      <c r="Q694" s="26"/>
      <c r="R694" s="26"/>
    </row>
    <row r="695" spans="2:18" ht="16.5" x14ac:dyDescent="0.3">
      <c r="B695" s="343" t="s">
        <v>382</v>
      </c>
      <c r="C695" s="344" t="s">
        <v>709</v>
      </c>
      <c r="D695" s="345" t="s">
        <v>780</v>
      </c>
      <c r="F695"/>
      <c r="G695"/>
      <c r="H695"/>
      <c r="J695" s="26"/>
      <c r="K695" s="26"/>
      <c r="L695" s="26"/>
      <c r="M695" s="26"/>
      <c r="O695" s="26"/>
      <c r="P695" s="26"/>
      <c r="Q695" s="26"/>
      <c r="R695" s="26"/>
    </row>
    <row r="696" spans="2:18" ht="16.5" x14ac:dyDescent="0.3">
      <c r="B696" s="343" t="s">
        <v>382</v>
      </c>
      <c r="C696" s="344" t="s">
        <v>729</v>
      </c>
      <c r="D696" s="345" t="s">
        <v>781</v>
      </c>
      <c r="F696"/>
      <c r="G696"/>
      <c r="H696"/>
      <c r="J696" s="26"/>
      <c r="K696" s="26"/>
      <c r="L696" s="26"/>
      <c r="M696" s="26"/>
      <c r="O696" s="26"/>
      <c r="P696" s="26"/>
      <c r="Q696" s="26"/>
      <c r="R696" s="26"/>
    </row>
    <row r="697" spans="2:18" ht="16.5" x14ac:dyDescent="0.3">
      <c r="B697" s="343" t="s">
        <v>382</v>
      </c>
      <c r="C697" s="344" t="s">
        <v>713</v>
      </c>
      <c r="D697" s="345" t="s">
        <v>782</v>
      </c>
      <c r="F697"/>
      <c r="G697"/>
      <c r="H697"/>
      <c r="J697" s="26"/>
      <c r="K697" s="26"/>
      <c r="L697" s="26"/>
      <c r="M697" s="26"/>
      <c r="O697" s="26"/>
      <c r="P697" s="26"/>
      <c r="Q697" s="26"/>
      <c r="R697" s="26"/>
    </row>
    <row r="698" spans="2:18" ht="16.5" x14ac:dyDescent="0.3">
      <c r="B698" s="343" t="s">
        <v>382</v>
      </c>
      <c r="C698" s="344" t="s">
        <v>713</v>
      </c>
      <c r="D698" s="345" t="s">
        <v>783</v>
      </c>
      <c r="F698"/>
      <c r="G698"/>
      <c r="H698"/>
      <c r="J698" s="26"/>
      <c r="K698" s="26"/>
      <c r="L698" s="26"/>
      <c r="M698" s="26"/>
      <c r="O698" s="26"/>
      <c r="P698" s="26"/>
      <c r="Q698" s="26"/>
      <c r="R698" s="26"/>
    </row>
    <row r="699" spans="2:18" ht="16.5" x14ac:dyDescent="0.3">
      <c r="B699" s="343" t="s">
        <v>382</v>
      </c>
      <c r="C699" s="344" t="s">
        <v>707</v>
      </c>
      <c r="D699" s="345" t="s">
        <v>784</v>
      </c>
      <c r="F699"/>
      <c r="G699"/>
      <c r="H699"/>
      <c r="J699" s="26"/>
      <c r="K699" s="26"/>
      <c r="L699" s="26"/>
      <c r="M699" s="26"/>
      <c r="O699" s="26"/>
      <c r="P699" s="26"/>
      <c r="Q699" s="26"/>
      <c r="R699" s="26"/>
    </row>
    <row r="700" spans="2:18" ht="16.5" x14ac:dyDescent="0.3">
      <c r="B700" s="343" t="s">
        <v>382</v>
      </c>
      <c r="C700" s="344" t="s">
        <v>713</v>
      </c>
      <c r="D700" s="345" t="s">
        <v>785</v>
      </c>
      <c r="F700"/>
      <c r="G700"/>
      <c r="H700"/>
      <c r="J700" s="26"/>
      <c r="K700" s="26"/>
      <c r="L700" s="26"/>
      <c r="M700" s="26"/>
      <c r="O700" s="26"/>
      <c r="P700" s="26"/>
      <c r="Q700" s="26"/>
      <c r="R700" s="26"/>
    </row>
    <row r="701" spans="2:18" ht="16.5" x14ac:dyDescent="0.3">
      <c r="B701" s="343" t="s">
        <v>382</v>
      </c>
      <c r="C701" s="344" t="s">
        <v>729</v>
      </c>
      <c r="D701" s="345" t="s">
        <v>786</v>
      </c>
      <c r="F701"/>
      <c r="G701"/>
      <c r="H701"/>
      <c r="J701" s="26"/>
      <c r="K701" s="26"/>
      <c r="L701" s="26"/>
      <c r="M701" s="26"/>
      <c r="O701" s="26"/>
      <c r="P701" s="26"/>
      <c r="Q701" s="26"/>
      <c r="R701" s="26"/>
    </row>
    <row r="702" spans="2:18" ht="16.5" x14ac:dyDescent="0.3">
      <c r="B702" s="343" t="s">
        <v>382</v>
      </c>
      <c r="C702" s="344" t="s">
        <v>707</v>
      </c>
      <c r="D702" s="345" t="s">
        <v>787</v>
      </c>
      <c r="F702"/>
      <c r="G702"/>
      <c r="H702"/>
      <c r="J702" s="26"/>
      <c r="K702" s="26"/>
      <c r="L702" s="26"/>
      <c r="M702" s="26"/>
      <c r="O702" s="26"/>
      <c r="P702" s="26"/>
      <c r="Q702" s="26"/>
      <c r="R702" s="26"/>
    </row>
    <row r="703" spans="2:18" ht="16.5" x14ac:dyDescent="0.3">
      <c r="B703" s="343" t="s">
        <v>382</v>
      </c>
      <c r="C703" s="344" t="s">
        <v>707</v>
      </c>
      <c r="D703" s="345" t="s">
        <v>788</v>
      </c>
      <c r="F703"/>
      <c r="G703"/>
      <c r="H703"/>
      <c r="J703" s="26"/>
      <c r="K703" s="26"/>
      <c r="L703" s="26"/>
      <c r="M703" s="26"/>
      <c r="O703" s="26"/>
      <c r="P703" s="26"/>
      <c r="Q703" s="26"/>
      <c r="R703" s="26"/>
    </row>
    <row r="704" spans="2:18" ht="16.5" x14ac:dyDescent="0.3">
      <c r="B704" s="343" t="s">
        <v>382</v>
      </c>
      <c r="C704" s="344" t="s">
        <v>713</v>
      </c>
      <c r="D704" s="345" t="s">
        <v>789</v>
      </c>
      <c r="F704"/>
      <c r="G704"/>
      <c r="H704"/>
      <c r="J704" s="26"/>
      <c r="K704" s="26"/>
      <c r="L704" s="26"/>
      <c r="M704" s="26"/>
      <c r="O704" s="26"/>
      <c r="P704" s="26"/>
      <c r="Q704" s="26"/>
      <c r="R704" s="26"/>
    </row>
    <row r="705" spans="2:18" ht="16.5" x14ac:dyDescent="0.3">
      <c r="B705" s="343" t="s">
        <v>382</v>
      </c>
      <c r="C705" s="344" t="s">
        <v>729</v>
      </c>
      <c r="D705" s="345" t="s">
        <v>790</v>
      </c>
      <c r="F705"/>
      <c r="G705"/>
      <c r="H705"/>
      <c r="J705" s="26"/>
      <c r="K705" s="26"/>
      <c r="L705" s="26"/>
      <c r="M705" s="26"/>
      <c r="O705" s="26"/>
      <c r="P705" s="26"/>
      <c r="Q705" s="26"/>
      <c r="R705" s="26"/>
    </row>
    <row r="706" spans="2:18" ht="16.5" x14ac:dyDescent="0.3">
      <c r="B706" s="343" t="s">
        <v>382</v>
      </c>
      <c r="C706" s="344" t="s">
        <v>729</v>
      </c>
      <c r="D706" s="345" t="s">
        <v>791</v>
      </c>
      <c r="F706"/>
      <c r="G706"/>
      <c r="H706"/>
      <c r="J706" s="26"/>
      <c r="K706" s="26"/>
      <c r="L706" s="26"/>
      <c r="M706" s="26"/>
      <c r="O706" s="26"/>
      <c r="P706" s="26"/>
      <c r="Q706" s="26"/>
      <c r="R706" s="26"/>
    </row>
    <row r="707" spans="2:18" ht="16.5" x14ac:dyDescent="0.3">
      <c r="B707" s="343" t="s">
        <v>382</v>
      </c>
      <c r="C707" s="344" t="s">
        <v>729</v>
      </c>
      <c r="D707" s="345" t="s">
        <v>792</v>
      </c>
      <c r="F707"/>
      <c r="G707"/>
      <c r="H707"/>
      <c r="J707" s="26"/>
      <c r="K707" s="26"/>
      <c r="L707" s="26"/>
      <c r="M707" s="26"/>
      <c r="O707" s="26"/>
      <c r="P707" s="26"/>
      <c r="Q707" s="26"/>
      <c r="R707" s="26"/>
    </row>
    <row r="708" spans="2:18" ht="16.5" x14ac:dyDescent="0.3">
      <c r="B708" s="343" t="s">
        <v>382</v>
      </c>
      <c r="C708" s="344" t="s">
        <v>729</v>
      </c>
      <c r="D708" s="345" t="s">
        <v>793</v>
      </c>
      <c r="F708"/>
      <c r="G708"/>
      <c r="H708"/>
      <c r="J708" s="26"/>
      <c r="K708" s="26"/>
      <c r="L708" s="26"/>
      <c r="M708" s="26"/>
      <c r="O708" s="26"/>
      <c r="P708" s="26"/>
      <c r="Q708" s="26"/>
      <c r="R708" s="26"/>
    </row>
    <row r="709" spans="2:18" ht="16.5" x14ac:dyDescent="0.3">
      <c r="B709" s="343" t="s">
        <v>382</v>
      </c>
      <c r="C709" s="344" t="s">
        <v>729</v>
      </c>
      <c r="D709" s="345" t="s">
        <v>794</v>
      </c>
      <c r="F709"/>
      <c r="G709"/>
      <c r="H709"/>
      <c r="J709" s="26"/>
      <c r="K709" s="26"/>
      <c r="L709" s="26"/>
      <c r="M709" s="26"/>
      <c r="O709" s="26"/>
      <c r="P709" s="26"/>
      <c r="Q709" s="26"/>
      <c r="R709" s="26"/>
    </row>
    <row r="710" spans="2:18" ht="16.5" x14ac:dyDescent="0.3">
      <c r="B710" s="343" t="s">
        <v>382</v>
      </c>
      <c r="C710" s="344" t="s">
        <v>713</v>
      </c>
      <c r="D710" s="345" t="s">
        <v>795</v>
      </c>
      <c r="F710"/>
      <c r="G710"/>
      <c r="H710"/>
      <c r="J710" s="26"/>
      <c r="K710" s="26"/>
      <c r="L710" s="26"/>
      <c r="M710" s="26"/>
      <c r="O710" s="26"/>
      <c r="P710" s="26"/>
      <c r="Q710" s="26"/>
      <c r="R710" s="26"/>
    </row>
    <row r="711" spans="2:18" ht="16.5" x14ac:dyDescent="0.3">
      <c r="B711" s="343" t="s">
        <v>382</v>
      </c>
      <c r="C711" s="344" t="s">
        <v>713</v>
      </c>
      <c r="D711" s="345" t="s">
        <v>796</v>
      </c>
      <c r="F711"/>
      <c r="G711"/>
      <c r="H711"/>
      <c r="J711" s="26"/>
      <c r="K711" s="26"/>
      <c r="L711" s="26"/>
      <c r="M711" s="26"/>
      <c r="O711" s="26"/>
      <c r="P711" s="26"/>
      <c r="Q711" s="26"/>
      <c r="R711" s="26"/>
    </row>
    <row r="712" spans="2:18" ht="16.5" x14ac:dyDescent="0.3">
      <c r="B712" s="343" t="s">
        <v>382</v>
      </c>
      <c r="C712" s="344" t="s">
        <v>713</v>
      </c>
      <c r="D712" s="345" t="s">
        <v>797</v>
      </c>
      <c r="F712"/>
      <c r="G712"/>
      <c r="H712"/>
      <c r="J712" s="26"/>
      <c r="K712" s="26"/>
      <c r="L712" s="26"/>
      <c r="M712" s="26"/>
      <c r="O712" s="26"/>
      <c r="P712" s="26"/>
      <c r="Q712" s="26"/>
      <c r="R712" s="26"/>
    </row>
    <row r="713" spans="2:18" ht="16.5" x14ac:dyDescent="0.3">
      <c r="B713" s="343" t="s">
        <v>382</v>
      </c>
      <c r="C713" s="344" t="s">
        <v>707</v>
      </c>
      <c r="D713" s="345" t="s">
        <v>798</v>
      </c>
      <c r="F713"/>
      <c r="G713"/>
      <c r="H713"/>
      <c r="J713" s="26"/>
      <c r="K713" s="26"/>
      <c r="L713" s="26"/>
      <c r="M713" s="26"/>
      <c r="O713" s="26"/>
      <c r="P713" s="26"/>
      <c r="Q713" s="26"/>
      <c r="R713" s="26"/>
    </row>
    <row r="714" spans="2:18" ht="16.5" x14ac:dyDescent="0.3">
      <c r="B714" s="343" t="s">
        <v>382</v>
      </c>
      <c r="C714" s="344" t="s">
        <v>713</v>
      </c>
      <c r="D714" s="345" t="s">
        <v>799</v>
      </c>
      <c r="F714"/>
      <c r="G714"/>
      <c r="H714"/>
      <c r="J714" s="26"/>
      <c r="K714" s="26"/>
      <c r="L714" s="26"/>
      <c r="M714" s="26"/>
      <c r="O714" s="26"/>
      <c r="P714" s="26"/>
      <c r="Q714" s="26"/>
      <c r="R714" s="26"/>
    </row>
    <row r="715" spans="2:18" ht="16.5" x14ac:dyDescent="0.3">
      <c r="B715" s="343" t="s">
        <v>382</v>
      </c>
      <c r="C715" s="344" t="s">
        <v>713</v>
      </c>
      <c r="D715" s="345" t="s">
        <v>800</v>
      </c>
      <c r="F715"/>
      <c r="G715"/>
      <c r="H715"/>
      <c r="J715" s="26"/>
      <c r="K715" s="26"/>
      <c r="L715" s="26"/>
      <c r="M715" s="26"/>
      <c r="O715" s="26"/>
      <c r="P715" s="26"/>
      <c r="Q715" s="26"/>
      <c r="R715" s="26"/>
    </row>
    <row r="716" spans="2:18" ht="16.5" x14ac:dyDescent="0.3">
      <c r="B716" s="343" t="s">
        <v>382</v>
      </c>
      <c r="C716" s="344" t="s">
        <v>707</v>
      </c>
      <c r="D716" s="345" t="s">
        <v>801</v>
      </c>
      <c r="F716"/>
      <c r="G716"/>
      <c r="H716"/>
      <c r="J716" s="26"/>
      <c r="K716" s="26"/>
      <c r="L716" s="26"/>
      <c r="M716" s="26"/>
      <c r="O716" s="26"/>
      <c r="P716" s="26"/>
      <c r="Q716" s="26"/>
      <c r="R716" s="26"/>
    </row>
    <row r="717" spans="2:18" ht="16.5" x14ac:dyDescent="0.3">
      <c r="B717" s="343" t="s">
        <v>382</v>
      </c>
      <c r="C717" s="344" t="s">
        <v>707</v>
      </c>
      <c r="D717" s="345" t="s">
        <v>802</v>
      </c>
      <c r="F717"/>
      <c r="G717"/>
      <c r="H717"/>
      <c r="J717" s="26"/>
      <c r="K717" s="26"/>
      <c r="L717" s="26"/>
      <c r="M717" s="26"/>
      <c r="O717" s="26"/>
      <c r="P717" s="26"/>
      <c r="Q717" s="26"/>
      <c r="R717" s="26"/>
    </row>
    <row r="718" spans="2:18" ht="16.5" x14ac:dyDescent="0.3">
      <c r="B718" s="343" t="s">
        <v>382</v>
      </c>
      <c r="C718" s="344" t="s">
        <v>707</v>
      </c>
      <c r="D718" s="345" t="s">
        <v>803</v>
      </c>
      <c r="F718"/>
      <c r="G718"/>
      <c r="H718"/>
      <c r="J718" s="26"/>
      <c r="K718" s="26"/>
      <c r="L718" s="26"/>
      <c r="M718" s="26"/>
      <c r="O718" s="26"/>
      <c r="P718" s="26"/>
      <c r="Q718" s="26"/>
      <c r="R718" s="26"/>
    </row>
    <row r="719" spans="2:18" ht="16.5" x14ac:dyDescent="0.3">
      <c r="B719" s="343" t="s">
        <v>382</v>
      </c>
      <c r="C719" s="344" t="s">
        <v>707</v>
      </c>
      <c r="D719" s="345" t="s">
        <v>804</v>
      </c>
      <c r="F719"/>
      <c r="G719"/>
      <c r="H719"/>
      <c r="J719" s="26"/>
      <c r="K719" s="26"/>
      <c r="L719" s="26"/>
      <c r="M719" s="26"/>
      <c r="O719" s="26"/>
      <c r="P719" s="26"/>
      <c r="Q719" s="26"/>
      <c r="R719" s="26"/>
    </row>
    <row r="720" spans="2:18" ht="16.5" x14ac:dyDescent="0.3">
      <c r="B720" s="343" t="s">
        <v>382</v>
      </c>
      <c r="C720" s="344" t="s">
        <v>707</v>
      </c>
      <c r="D720" s="345" t="s">
        <v>805</v>
      </c>
      <c r="F720"/>
      <c r="G720"/>
      <c r="H720"/>
      <c r="J720" s="26"/>
      <c r="K720" s="26"/>
      <c r="L720" s="26"/>
      <c r="M720" s="26"/>
      <c r="O720" s="26"/>
      <c r="P720" s="26"/>
      <c r="Q720" s="26"/>
      <c r="R720" s="26"/>
    </row>
    <row r="721" spans="2:18" ht="16.5" x14ac:dyDescent="0.3">
      <c r="B721" s="343" t="s">
        <v>382</v>
      </c>
      <c r="C721" s="344" t="s">
        <v>713</v>
      </c>
      <c r="D721" s="345" t="s">
        <v>806</v>
      </c>
      <c r="F721"/>
      <c r="G721"/>
      <c r="H721"/>
      <c r="J721" s="26"/>
      <c r="K721" s="26"/>
      <c r="L721" s="26"/>
      <c r="M721" s="26"/>
      <c r="O721" s="26"/>
      <c r="P721" s="26"/>
      <c r="Q721" s="26"/>
      <c r="R721" s="26"/>
    </row>
    <row r="722" spans="2:18" ht="16.5" x14ac:dyDescent="0.3">
      <c r="B722" s="343" t="s">
        <v>382</v>
      </c>
      <c r="C722" s="344" t="s">
        <v>713</v>
      </c>
      <c r="D722" s="345" t="s">
        <v>807</v>
      </c>
      <c r="F722"/>
      <c r="G722"/>
      <c r="H722"/>
      <c r="J722" s="26"/>
      <c r="K722" s="26"/>
      <c r="L722" s="26"/>
      <c r="M722" s="26"/>
      <c r="O722" s="26"/>
      <c r="P722" s="26"/>
      <c r="Q722" s="26"/>
      <c r="R722" s="26"/>
    </row>
    <row r="723" spans="2:18" ht="16.5" x14ac:dyDescent="0.3">
      <c r="B723" s="343" t="s">
        <v>382</v>
      </c>
      <c r="C723" s="344" t="s">
        <v>729</v>
      </c>
      <c r="D723" s="345" t="s">
        <v>808</v>
      </c>
      <c r="F723"/>
      <c r="G723"/>
      <c r="H723"/>
      <c r="J723" s="26"/>
      <c r="K723" s="26"/>
      <c r="L723" s="26"/>
      <c r="M723" s="26"/>
      <c r="O723" s="26"/>
      <c r="P723" s="26"/>
      <c r="Q723" s="26"/>
      <c r="R723" s="26"/>
    </row>
    <row r="724" spans="2:18" ht="16.5" x14ac:dyDescent="0.3">
      <c r="B724" s="343" t="s">
        <v>382</v>
      </c>
      <c r="C724" s="344" t="s">
        <v>713</v>
      </c>
      <c r="D724" s="345" t="s">
        <v>809</v>
      </c>
      <c r="F724"/>
      <c r="G724"/>
      <c r="H724"/>
      <c r="J724" s="26"/>
      <c r="K724" s="26"/>
      <c r="L724" s="26"/>
      <c r="M724" s="26"/>
      <c r="O724" s="26"/>
      <c r="P724" s="26"/>
      <c r="Q724" s="26"/>
      <c r="R724" s="26"/>
    </row>
    <row r="725" spans="2:18" ht="16.5" x14ac:dyDescent="0.3">
      <c r="B725" s="343" t="s">
        <v>382</v>
      </c>
      <c r="C725" s="344" t="s">
        <v>713</v>
      </c>
      <c r="D725" s="345" t="s">
        <v>810</v>
      </c>
      <c r="F725"/>
      <c r="G725"/>
      <c r="H725"/>
      <c r="J725" s="26"/>
      <c r="K725" s="26"/>
      <c r="L725" s="26"/>
      <c r="M725" s="26"/>
      <c r="O725" s="26"/>
      <c r="P725" s="26"/>
      <c r="Q725" s="26"/>
      <c r="R725" s="26"/>
    </row>
    <row r="726" spans="2:18" ht="16.5" x14ac:dyDescent="0.3">
      <c r="B726" s="343" t="s">
        <v>382</v>
      </c>
      <c r="C726" s="344" t="s">
        <v>713</v>
      </c>
      <c r="D726" s="345" t="s">
        <v>811</v>
      </c>
      <c r="F726"/>
      <c r="G726"/>
      <c r="H726"/>
      <c r="J726" s="26"/>
      <c r="K726" s="26"/>
      <c r="L726" s="26"/>
      <c r="M726" s="26"/>
      <c r="O726" s="26"/>
      <c r="P726" s="26"/>
      <c r="Q726" s="26"/>
      <c r="R726" s="26"/>
    </row>
    <row r="727" spans="2:18" ht="16.5" x14ac:dyDescent="0.3">
      <c r="B727" s="343" t="s">
        <v>382</v>
      </c>
      <c r="C727" s="344" t="s">
        <v>713</v>
      </c>
      <c r="D727" s="345" t="s">
        <v>812</v>
      </c>
      <c r="F727"/>
      <c r="G727"/>
      <c r="H727"/>
      <c r="J727" s="26"/>
      <c r="K727" s="26"/>
      <c r="L727" s="26"/>
      <c r="M727" s="26"/>
      <c r="O727" s="26"/>
      <c r="P727" s="26"/>
      <c r="Q727" s="26"/>
      <c r="R727" s="26"/>
    </row>
    <row r="728" spans="2:18" ht="16.5" x14ac:dyDescent="0.3">
      <c r="B728" s="343" t="s">
        <v>382</v>
      </c>
      <c r="C728" s="344" t="s">
        <v>713</v>
      </c>
      <c r="D728" s="345" t="s">
        <v>813</v>
      </c>
      <c r="F728"/>
      <c r="G728"/>
      <c r="H728"/>
      <c r="J728" s="26"/>
      <c r="K728" s="26"/>
      <c r="L728" s="26"/>
      <c r="M728" s="26"/>
      <c r="O728" s="26"/>
      <c r="P728" s="26"/>
      <c r="Q728" s="26"/>
      <c r="R728" s="26"/>
    </row>
    <row r="729" spans="2:18" ht="16.5" x14ac:dyDescent="0.3">
      <c r="B729" s="343" t="s">
        <v>382</v>
      </c>
      <c r="C729" s="344" t="s">
        <v>729</v>
      </c>
      <c r="D729" s="345" t="s">
        <v>814</v>
      </c>
      <c r="F729"/>
      <c r="G729"/>
      <c r="H729"/>
      <c r="J729" s="26"/>
      <c r="K729" s="26"/>
      <c r="L729" s="26"/>
      <c r="M729" s="26"/>
      <c r="O729" s="26"/>
      <c r="P729" s="26"/>
      <c r="Q729" s="26"/>
      <c r="R729" s="26"/>
    </row>
    <row r="730" spans="2:18" ht="16.5" x14ac:dyDescent="0.3">
      <c r="B730" s="343" t="s">
        <v>382</v>
      </c>
      <c r="C730" s="344" t="s">
        <v>729</v>
      </c>
      <c r="D730" s="345" t="s">
        <v>815</v>
      </c>
      <c r="F730"/>
      <c r="G730"/>
      <c r="H730"/>
      <c r="J730" s="26"/>
      <c r="K730" s="26"/>
      <c r="L730" s="26"/>
      <c r="M730" s="26"/>
      <c r="O730" s="26"/>
      <c r="P730" s="26"/>
      <c r="Q730" s="26"/>
      <c r="R730" s="26"/>
    </row>
    <row r="731" spans="2:18" ht="16.5" x14ac:dyDescent="0.3">
      <c r="B731" s="343" t="s">
        <v>382</v>
      </c>
      <c r="C731" s="344" t="s">
        <v>713</v>
      </c>
      <c r="D731" s="345" t="s">
        <v>816</v>
      </c>
      <c r="F731"/>
      <c r="G731"/>
      <c r="H731"/>
      <c r="J731" s="26"/>
      <c r="K731" s="26"/>
      <c r="L731" s="26"/>
      <c r="M731" s="26"/>
      <c r="O731" s="26"/>
      <c r="P731" s="26"/>
      <c r="Q731" s="26"/>
      <c r="R731" s="26"/>
    </row>
    <row r="732" spans="2:18" ht="16.5" x14ac:dyDescent="0.3">
      <c r="B732" s="343" t="s">
        <v>382</v>
      </c>
      <c r="C732" s="344" t="s">
        <v>707</v>
      </c>
      <c r="D732" s="345" t="s">
        <v>817</v>
      </c>
      <c r="F732"/>
      <c r="G732"/>
      <c r="H732"/>
      <c r="J732" s="26"/>
      <c r="K732" s="26"/>
      <c r="L732" s="26"/>
      <c r="M732" s="26"/>
      <c r="O732" s="26"/>
      <c r="P732" s="26"/>
      <c r="Q732" s="26"/>
      <c r="R732" s="26"/>
    </row>
    <row r="733" spans="2:18" ht="16.5" x14ac:dyDescent="0.3">
      <c r="B733" s="343" t="s">
        <v>382</v>
      </c>
      <c r="C733" s="344" t="s">
        <v>729</v>
      </c>
      <c r="D733" s="345" t="s">
        <v>818</v>
      </c>
      <c r="F733"/>
      <c r="G733"/>
      <c r="H733"/>
      <c r="J733" s="26"/>
      <c r="K733" s="26"/>
      <c r="L733" s="26"/>
      <c r="M733" s="26"/>
      <c r="O733" s="26"/>
      <c r="P733" s="26"/>
      <c r="Q733" s="26"/>
      <c r="R733" s="26"/>
    </row>
    <row r="734" spans="2:18" ht="16.5" x14ac:dyDescent="0.3">
      <c r="B734" s="343" t="s">
        <v>382</v>
      </c>
      <c r="C734" s="344" t="s">
        <v>729</v>
      </c>
      <c r="D734" s="345" t="s">
        <v>819</v>
      </c>
      <c r="F734"/>
      <c r="G734"/>
      <c r="H734"/>
      <c r="J734" s="26"/>
      <c r="K734" s="26"/>
      <c r="L734" s="26"/>
      <c r="M734" s="26"/>
      <c r="O734" s="26"/>
      <c r="P734" s="26"/>
      <c r="Q734" s="26"/>
      <c r="R734" s="26"/>
    </row>
    <row r="735" spans="2:18" ht="16.5" x14ac:dyDescent="0.3">
      <c r="B735" s="343" t="s">
        <v>382</v>
      </c>
      <c r="C735" s="344" t="s">
        <v>729</v>
      </c>
      <c r="D735" s="345" t="s">
        <v>820</v>
      </c>
      <c r="F735"/>
      <c r="G735"/>
      <c r="H735"/>
      <c r="J735" s="26"/>
      <c r="K735" s="26"/>
      <c r="L735" s="26"/>
      <c r="M735" s="26"/>
      <c r="O735" s="26"/>
      <c r="P735" s="26"/>
      <c r="Q735" s="26"/>
      <c r="R735" s="26"/>
    </row>
    <row r="736" spans="2:18" ht="16.5" x14ac:dyDescent="0.3">
      <c r="B736" s="343" t="s">
        <v>382</v>
      </c>
      <c r="C736" s="344" t="s">
        <v>729</v>
      </c>
      <c r="D736" s="345" t="s">
        <v>821</v>
      </c>
      <c r="F736"/>
      <c r="G736"/>
      <c r="H736"/>
      <c r="J736" s="26"/>
      <c r="K736" s="26"/>
      <c r="L736" s="26"/>
      <c r="M736" s="26"/>
      <c r="O736" s="26"/>
      <c r="P736" s="26"/>
      <c r="Q736" s="26"/>
      <c r="R736" s="26"/>
    </row>
    <row r="737" spans="2:18" ht="16.5" x14ac:dyDescent="0.3">
      <c r="B737" s="343" t="s">
        <v>382</v>
      </c>
      <c r="C737" s="344" t="s">
        <v>729</v>
      </c>
      <c r="D737" s="345" t="s">
        <v>822</v>
      </c>
      <c r="F737"/>
      <c r="G737"/>
      <c r="H737"/>
      <c r="J737" s="26"/>
      <c r="K737" s="26"/>
      <c r="L737" s="26"/>
      <c r="M737" s="26"/>
      <c r="O737" s="26"/>
      <c r="P737" s="26"/>
      <c r="Q737" s="26"/>
      <c r="R737" s="26"/>
    </row>
    <row r="738" spans="2:18" ht="16.5" x14ac:dyDescent="0.3">
      <c r="B738" s="343" t="s">
        <v>382</v>
      </c>
      <c r="C738" s="344" t="s">
        <v>729</v>
      </c>
      <c r="D738" s="345" t="s">
        <v>823</v>
      </c>
      <c r="F738"/>
      <c r="G738"/>
      <c r="H738"/>
      <c r="J738" s="26"/>
      <c r="K738" s="26"/>
      <c r="L738" s="26"/>
      <c r="M738" s="26"/>
      <c r="O738" s="26"/>
      <c r="P738" s="26"/>
      <c r="Q738" s="26"/>
      <c r="R738" s="26"/>
    </row>
    <row r="739" spans="2:18" ht="16.5" x14ac:dyDescent="0.3">
      <c r="B739" s="343" t="s">
        <v>382</v>
      </c>
      <c r="C739" s="344" t="s">
        <v>713</v>
      </c>
      <c r="D739" s="345" t="s">
        <v>824</v>
      </c>
      <c r="F739"/>
      <c r="G739"/>
      <c r="H739"/>
      <c r="J739" s="26"/>
      <c r="K739" s="26"/>
      <c r="L739" s="26"/>
      <c r="M739" s="26"/>
      <c r="O739" s="26"/>
      <c r="P739" s="26"/>
      <c r="Q739" s="26"/>
      <c r="R739" s="26"/>
    </row>
    <row r="740" spans="2:18" ht="16.5" x14ac:dyDescent="0.3">
      <c r="B740" s="343" t="s">
        <v>382</v>
      </c>
      <c r="C740" s="344" t="s">
        <v>713</v>
      </c>
      <c r="D740" s="345" t="s">
        <v>825</v>
      </c>
      <c r="F740"/>
      <c r="G740"/>
      <c r="H740"/>
      <c r="J740" s="26"/>
      <c r="K740" s="26"/>
      <c r="L740" s="26"/>
      <c r="M740" s="26"/>
      <c r="O740" s="26"/>
      <c r="P740" s="26"/>
      <c r="Q740" s="26"/>
      <c r="R740" s="26"/>
    </row>
    <row r="741" spans="2:18" ht="16.5" x14ac:dyDescent="0.3">
      <c r="B741" s="343" t="s">
        <v>382</v>
      </c>
      <c r="C741" s="344" t="s">
        <v>713</v>
      </c>
      <c r="D741" s="345" t="s">
        <v>826</v>
      </c>
      <c r="F741"/>
      <c r="G741"/>
      <c r="H741"/>
      <c r="J741" s="26"/>
      <c r="K741" s="26"/>
      <c r="L741" s="26"/>
      <c r="M741" s="26"/>
      <c r="O741" s="26"/>
      <c r="P741" s="26"/>
      <c r="Q741" s="26"/>
      <c r="R741" s="26"/>
    </row>
    <row r="742" spans="2:18" ht="16.5" x14ac:dyDescent="0.3">
      <c r="B742" s="343" t="s">
        <v>382</v>
      </c>
      <c r="C742" s="344" t="s">
        <v>713</v>
      </c>
      <c r="D742" s="345" t="s">
        <v>827</v>
      </c>
      <c r="F742"/>
      <c r="G742"/>
      <c r="H742"/>
      <c r="J742" s="26"/>
      <c r="K742" s="26"/>
      <c r="L742" s="26"/>
      <c r="M742" s="26"/>
      <c r="O742" s="26"/>
      <c r="P742" s="26"/>
      <c r="Q742" s="26"/>
      <c r="R742" s="26"/>
    </row>
    <row r="743" spans="2:18" ht="16.5" x14ac:dyDescent="0.3">
      <c r="B743" s="343" t="s">
        <v>382</v>
      </c>
      <c r="C743" s="344" t="s">
        <v>713</v>
      </c>
      <c r="D743" s="345" t="s">
        <v>828</v>
      </c>
      <c r="F743"/>
      <c r="G743"/>
      <c r="H743"/>
      <c r="J743" s="26"/>
      <c r="K743" s="26"/>
      <c r="L743" s="26"/>
      <c r="M743" s="26"/>
      <c r="O743" s="26"/>
      <c r="P743" s="26"/>
      <c r="Q743" s="26"/>
      <c r="R743" s="26"/>
    </row>
    <row r="744" spans="2:18" ht="16.5" x14ac:dyDescent="0.3">
      <c r="B744" s="343" t="s">
        <v>382</v>
      </c>
      <c r="C744" s="344" t="s">
        <v>713</v>
      </c>
      <c r="D744" s="345" t="s">
        <v>829</v>
      </c>
      <c r="F744"/>
      <c r="G744"/>
      <c r="H744"/>
      <c r="J744" s="26"/>
      <c r="K744" s="26"/>
      <c r="L744" s="26"/>
      <c r="M744" s="26"/>
      <c r="O744" s="26"/>
      <c r="P744" s="26"/>
      <c r="Q744" s="26"/>
      <c r="R744" s="26"/>
    </row>
    <row r="745" spans="2:18" ht="16.5" x14ac:dyDescent="0.3">
      <c r="B745" s="343" t="s">
        <v>382</v>
      </c>
      <c r="C745" s="344" t="s">
        <v>713</v>
      </c>
      <c r="D745" s="345" t="s">
        <v>830</v>
      </c>
      <c r="F745"/>
      <c r="G745"/>
      <c r="H745"/>
      <c r="J745" s="26"/>
      <c r="K745" s="26"/>
      <c r="L745" s="26"/>
      <c r="M745" s="26"/>
      <c r="O745" s="26"/>
      <c r="P745" s="26"/>
      <c r="Q745" s="26"/>
      <c r="R745" s="26"/>
    </row>
    <row r="746" spans="2:18" ht="16.5" x14ac:dyDescent="0.3">
      <c r="B746" s="343" t="s">
        <v>382</v>
      </c>
      <c r="C746" s="344" t="s">
        <v>713</v>
      </c>
      <c r="D746" s="345" t="s">
        <v>831</v>
      </c>
      <c r="F746"/>
      <c r="G746"/>
      <c r="H746"/>
      <c r="J746" s="26"/>
      <c r="K746" s="26"/>
      <c r="L746" s="26"/>
      <c r="M746" s="26"/>
      <c r="O746" s="26"/>
      <c r="P746" s="26"/>
      <c r="Q746" s="26"/>
      <c r="R746" s="26"/>
    </row>
    <row r="747" spans="2:18" ht="16.5" x14ac:dyDescent="0.3">
      <c r="B747" s="343" t="s">
        <v>382</v>
      </c>
      <c r="C747" s="344" t="s">
        <v>713</v>
      </c>
      <c r="D747" s="345" t="s">
        <v>832</v>
      </c>
      <c r="F747"/>
      <c r="G747"/>
      <c r="H747"/>
      <c r="J747" s="26"/>
      <c r="K747" s="26"/>
      <c r="L747" s="26"/>
      <c r="M747" s="26"/>
      <c r="O747" s="26"/>
      <c r="P747" s="26"/>
      <c r="Q747" s="26"/>
      <c r="R747" s="26"/>
    </row>
    <row r="748" spans="2:18" ht="16.5" x14ac:dyDescent="0.3">
      <c r="B748" s="343" t="s">
        <v>382</v>
      </c>
      <c r="C748" s="344" t="s">
        <v>707</v>
      </c>
      <c r="D748" s="345" t="s">
        <v>833</v>
      </c>
      <c r="F748"/>
      <c r="G748"/>
      <c r="H748"/>
      <c r="J748" s="26"/>
      <c r="K748" s="26"/>
      <c r="L748" s="26"/>
      <c r="M748" s="26"/>
      <c r="O748" s="26"/>
      <c r="P748" s="26"/>
      <c r="Q748" s="26"/>
      <c r="R748" s="26"/>
    </row>
    <row r="749" spans="2:18" ht="16.5" x14ac:dyDescent="0.3">
      <c r="B749" s="343" t="s">
        <v>382</v>
      </c>
      <c r="C749" s="344" t="s">
        <v>711</v>
      </c>
      <c r="D749" s="345" t="s">
        <v>834</v>
      </c>
      <c r="F749"/>
      <c r="G749"/>
      <c r="H749"/>
      <c r="J749" s="26"/>
      <c r="K749" s="26"/>
      <c r="L749" s="26"/>
      <c r="M749" s="26"/>
      <c r="O749" s="26"/>
      <c r="P749" s="26"/>
      <c r="Q749" s="26"/>
      <c r="R749" s="26"/>
    </row>
    <row r="750" spans="2:18" ht="16.5" x14ac:dyDescent="0.3">
      <c r="B750" s="343" t="s">
        <v>382</v>
      </c>
      <c r="C750" s="344" t="s">
        <v>709</v>
      </c>
      <c r="D750" s="345" t="s">
        <v>835</v>
      </c>
      <c r="F750"/>
      <c r="G750"/>
      <c r="H750"/>
      <c r="J750" s="26"/>
      <c r="K750" s="26"/>
      <c r="L750" s="26"/>
      <c r="M750" s="26"/>
      <c r="O750" s="26"/>
      <c r="P750" s="26"/>
      <c r="Q750" s="26"/>
      <c r="R750" s="26"/>
    </row>
    <row r="751" spans="2:18" ht="16.5" x14ac:dyDescent="0.3">
      <c r="B751" s="343" t="s">
        <v>382</v>
      </c>
      <c r="C751" s="344" t="s">
        <v>709</v>
      </c>
      <c r="D751" s="345" t="s">
        <v>836</v>
      </c>
      <c r="F751"/>
      <c r="G751"/>
      <c r="H751"/>
      <c r="J751" s="26"/>
      <c r="K751" s="26"/>
      <c r="L751" s="26"/>
      <c r="M751" s="26"/>
      <c r="O751" s="26"/>
      <c r="P751" s="26"/>
      <c r="Q751" s="26"/>
      <c r="R751" s="26"/>
    </row>
    <row r="752" spans="2:18" ht="16.5" x14ac:dyDescent="0.3">
      <c r="B752" s="343" t="s">
        <v>382</v>
      </c>
      <c r="C752" s="344" t="s">
        <v>709</v>
      </c>
      <c r="D752" s="345" t="s">
        <v>837</v>
      </c>
      <c r="F752"/>
      <c r="G752"/>
      <c r="H752"/>
      <c r="J752" s="26"/>
      <c r="K752" s="26"/>
      <c r="L752" s="26"/>
      <c r="M752" s="26"/>
      <c r="O752" s="26"/>
      <c r="P752" s="26"/>
      <c r="Q752" s="26"/>
      <c r="R752" s="26"/>
    </row>
    <row r="753" spans="2:18" ht="16.5" x14ac:dyDescent="0.3">
      <c r="B753" s="343" t="s">
        <v>382</v>
      </c>
      <c r="C753" s="344" t="s">
        <v>711</v>
      </c>
      <c r="D753" s="345" t="s">
        <v>838</v>
      </c>
      <c r="F753"/>
      <c r="G753"/>
      <c r="H753"/>
      <c r="J753" s="26"/>
      <c r="K753" s="26"/>
      <c r="L753" s="26"/>
      <c r="M753" s="26"/>
      <c r="O753" s="26"/>
      <c r="P753" s="26"/>
      <c r="Q753" s="26"/>
      <c r="R753" s="26"/>
    </row>
    <row r="754" spans="2:18" ht="16.5" x14ac:dyDescent="0.3">
      <c r="B754" s="343" t="s">
        <v>382</v>
      </c>
      <c r="C754" s="344" t="s">
        <v>709</v>
      </c>
      <c r="D754" s="345" t="s">
        <v>839</v>
      </c>
      <c r="F754"/>
      <c r="G754"/>
      <c r="H754"/>
      <c r="J754" s="26"/>
      <c r="K754" s="26"/>
      <c r="L754" s="26"/>
      <c r="M754" s="26"/>
      <c r="O754" s="26"/>
      <c r="P754" s="26"/>
      <c r="Q754" s="26"/>
      <c r="R754" s="26"/>
    </row>
    <row r="755" spans="2:18" ht="16.5" x14ac:dyDescent="0.3">
      <c r="B755" s="343" t="s">
        <v>382</v>
      </c>
      <c r="C755" s="344" t="s">
        <v>709</v>
      </c>
      <c r="D755" s="345" t="s">
        <v>840</v>
      </c>
      <c r="F755"/>
      <c r="G755"/>
      <c r="H755"/>
      <c r="J755" s="26"/>
      <c r="K755" s="26"/>
      <c r="L755" s="26"/>
      <c r="M755" s="26"/>
      <c r="O755" s="26"/>
      <c r="P755" s="26"/>
      <c r="Q755" s="26"/>
      <c r="R755" s="26"/>
    </row>
    <row r="756" spans="2:18" ht="16.5" x14ac:dyDescent="0.3">
      <c r="B756" s="343" t="s">
        <v>382</v>
      </c>
      <c r="C756" s="344" t="s">
        <v>713</v>
      </c>
      <c r="D756" s="345" t="s">
        <v>841</v>
      </c>
      <c r="F756"/>
      <c r="G756"/>
      <c r="H756"/>
      <c r="J756" s="26"/>
      <c r="K756" s="26"/>
      <c r="L756" s="26"/>
      <c r="M756" s="26"/>
      <c r="O756" s="26"/>
      <c r="P756" s="26"/>
      <c r="Q756" s="26"/>
      <c r="R756" s="26"/>
    </row>
    <row r="757" spans="2:18" ht="16.5" x14ac:dyDescent="0.3">
      <c r="B757" s="343" t="s">
        <v>382</v>
      </c>
      <c r="C757" s="344" t="s">
        <v>709</v>
      </c>
      <c r="D757" s="345" t="s">
        <v>842</v>
      </c>
      <c r="F757"/>
      <c r="G757"/>
      <c r="H757"/>
      <c r="J757" s="26"/>
      <c r="K757" s="26"/>
      <c r="L757" s="26"/>
      <c r="M757" s="26"/>
      <c r="O757" s="26"/>
      <c r="P757" s="26"/>
      <c r="Q757" s="26"/>
      <c r="R757" s="26"/>
    </row>
    <row r="758" spans="2:18" ht="16.5" x14ac:dyDescent="0.3">
      <c r="B758" s="343" t="s">
        <v>382</v>
      </c>
      <c r="C758" s="344" t="s">
        <v>709</v>
      </c>
      <c r="D758" s="345" t="s">
        <v>843</v>
      </c>
      <c r="F758"/>
      <c r="G758"/>
      <c r="H758"/>
      <c r="J758" s="26"/>
      <c r="K758" s="26"/>
      <c r="L758" s="26"/>
      <c r="M758" s="26"/>
      <c r="O758" s="26"/>
      <c r="P758" s="26"/>
      <c r="Q758" s="26"/>
      <c r="R758" s="26"/>
    </row>
    <row r="759" spans="2:18" ht="16.5" x14ac:dyDescent="0.3">
      <c r="B759" s="343" t="s">
        <v>382</v>
      </c>
      <c r="C759" s="344" t="s">
        <v>709</v>
      </c>
      <c r="D759" s="345" t="s">
        <v>844</v>
      </c>
      <c r="F759"/>
      <c r="G759"/>
      <c r="H759"/>
      <c r="J759" s="26"/>
      <c r="K759" s="26"/>
      <c r="L759" s="26"/>
      <c r="M759" s="26"/>
      <c r="O759" s="26"/>
      <c r="P759" s="26"/>
      <c r="Q759" s="26"/>
      <c r="R759" s="26"/>
    </row>
    <row r="760" spans="2:18" ht="16.5" x14ac:dyDescent="0.3">
      <c r="B760" s="343" t="s">
        <v>382</v>
      </c>
      <c r="C760" s="344" t="s">
        <v>709</v>
      </c>
      <c r="D760" s="345" t="s">
        <v>845</v>
      </c>
      <c r="F760"/>
      <c r="G760"/>
      <c r="H760"/>
      <c r="J760" s="26"/>
      <c r="K760" s="26"/>
      <c r="L760" s="26"/>
      <c r="M760" s="26"/>
      <c r="O760" s="26"/>
      <c r="P760" s="26"/>
      <c r="Q760" s="26"/>
      <c r="R760" s="26"/>
    </row>
    <row r="761" spans="2:18" ht="16.5" x14ac:dyDescent="0.3">
      <c r="B761" s="343" t="s">
        <v>382</v>
      </c>
      <c r="C761" s="344" t="s">
        <v>709</v>
      </c>
      <c r="D761" s="345" t="s">
        <v>846</v>
      </c>
      <c r="F761"/>
      <c r="G761"/>
      <c r="H761"/>
      <c r="J761" s="26"/>
      <c r="K761" s="26"/>
      <c r="L761" s="26"/>
      <c r="M761" s="26"/>
      <c r="O761" s="26"/>
      <c r="P761" s="26"/>
      <c r="Q761" s="26"/>
      <c r="R761" s="26"/>
    </row>
    <row r="762" spans="2:18" ht="16.5" x14ac:dyDescent="0.3">
      <c r="B762" s="343" t="s">
        <v>382</v>
      </c>
      <c r="C762" s="344" t="s">
        <v>709</v>
      </c>
      <c r="D762" s="345" t="s">
        <v>847</v>
      </c>
      <c r="F762"/>
      <c r="G762"/>
      <c r="H762"/>
      <c r="J762" s="26"/>
      <c r="K762" s="26"/>
      <c r="L762" s="26"/>
      <c r="M762" s="26"/>
      <c r="O762" s="26"/>
      <c r="P762" s="26"/>
      <c r="Q762" s="26"/>
      <c r="R762" s="26"/>
    </row>
    <row r="763" spans="2:18" ht="16.5" x14ac:dyDescent="0.3">
      <c r="B763" s="343" t="s">
        <v>382</v>
      </c>
      <c r="C763" s="344" t="s">
        <v>709</v>
      </c>
      <c r="D763" s="345" t="s">
        <v>848</v>
      </c>
      <c r="F763"/>
      <c r="G763"/>
      <c r="H763"/>
      <c r="J763" s="26"/>
      <c r="K763" s="26"/>
      <c r="L763" s="26"/>
      <c r="M763" s="26"/>
      <c r="O763" s="26"/>
      <c r="P763" s="26"/>
      <c r="Q763" s="26"/>
      <c r="R763" s="26"/>
    </row>
    <row r="764" spans="2:18" ht="16.5" x14ac:dyDescent="0.3">
      <c r="B764" s="343" t="s">
        <v>382</v>
      </c>
      <c r="C764" s="344" t="s">
        <v>711</v>
      </c>
      <c r="D764" s="345" t="s">
        <v>849</v>
      </c>
      <c r="F764"/>
      <c r="G764"/>
      <c r="H764"/>
      <c r="J764" s="26"/>
      <c r="K764" s="26"/>
      <c r="L764" s="26"/>
      <c r="M764" s="26"/>
      <c r="O764" s="26"/>
      <c r="P764" s="26"/>
      <c r="Q764" s="26"/>
      <c r="R764" s="26"/>
    </row>
    <row r="765" spans="2:18" ht="16.5" x14ac:dyDescent="0.3">
      <c r="B765" s="343" t="s">
        <v>382</v>
      </c>
      <c r="C765" s="344" t="s">
        <v>711</v>
      </c>
      <c r="D765" s="345" t="s">
        <v>850</v>
      </c>
      <c r="F765"/>
      <c r="G765"/>
      <c r="H765"/>
      <c r="J765" s="26"/>
      <c r="K765" s="26"/>
      <c r="L765" s="26"/>
      <c r="M765" s="26"/>
      <c r="O765" s="26"/>
      <c r="P765" s="26"/>
      <c r="Q765" s="26"/>
      <c r="R765" s="26"/>
    </row>
    <row r="766" spans="2:18" ht="16.5" x14ac:dyDescent="0.3">
      <c r="B766" s="343" t="s">
        <v>382</v>
      </c>
      <c r="C766" s="344" t="s">
        <v>709</v>
      </c>
      <c r="D766" s="345" t="s">
        <v>851</v>
      </c>
      <c r="F766"/>
      <c r="G766"/>
      <c r="H766"/>
      <c r="J766" s="26"/>
      <c r="K766" s="26"/>
      <c r="L766" s="26"/>
      <c r="M766" s="26"/>
      <c r="O766" s="26"/>
      <c r="P766" s="26"/>
      <c r="Q766" s="26"/>
      <c r="R766" s="26"/>
    </row>
    <row r="767" spans="2:18" ht="16.5" x14ac:dyDescent="0.3">
      <c r="B767" s="343" t="s">
        <v>382</v>
      </c>
      <c r="C767" s="344" t="s">
        <v>709</v>
      </c>
      <c r="D767" s="345" t="s">
        <v>852</v>
      </c>
      <c r="F767"/>
      <c r="G767"/>
      <c r="H767"/>
      <c r="J767" s="26"/>
      <c r="K767" s="26"/>
      <c r="L767" s="26"/>
      <c r="M767" s="26"/>
      <c r="O767" s="26"/>
      <c r="P767" s="26"/>
      <c r="Q767" s="26"/>
      <c r="R767" s="26"/>
    </row>
    <row r="768" spans="2:18" ht="16.5" x14ac:dyDescent="0.3">
      <c r="B768" s="343" t="s">
        <v>382</v>
      </c>
      <c r="C768" s="344" t="s">
        <v>709</v>
      </c>
      <c r="D768" s="345" t="s">
        <v>853</v>
      </c>
      <c r="F768"/>
      <c r="G768"/>
      <c r="H768"/>
      <c r="J768" s="26"/>
      <c r="K768" s="26"/>
      <c r="L768" s="26"/>
      <c r="M768" s="26"/>
      <c r="O768" s="26"/>
      <c r="P768" s="26"/>
      <c r="Q768" s="26"/>
      <c r="R768" s="26"/>
    </row>
    <row r="769" spans="2:18" ht="16.5" x14ac:dyDescent="0.3">
      <c r="B769" s="343" t="s">
        <v>382</v>
      </c>
      <c r="C769" s="344" t="s">
        <v>709</v>
      </c>
      <c r="D769" s="345" t="s">
        <v>854</v>
      </c>
      <c r="F769"/>
      <c r="G769"/>
      <c r="H769"/>
      <c r="J769" s="26"/>
      <c r="K769" s="26"/>
      <c r="L769" s="26"/>
      <c r="M769" s="26"/>
      <c r="O769" s="26"/>
      <c r="P769" s="26"/>
      <c r="Q769" s="26"/>
      <c r="R769" s="26"/>
    </row>
    <row r="770" spans="2:18" ht="16.5" x14ac:dyDescent="0.3">
      <c r="B770" s="343" t="s">
        <v>382</v>
      </c>
      <c r="C770" s="344" t="s">
        <v>709</v>
      </c>
      <c r="D770" s="345" t="s">
        <v>855</v>
      </c>
      <c r="F770"/>
      <c r="G770"/>
      <c r="H770"/>
      <c r="J770" s="26"/>
      <c r="K770" s="26"/>
      <c r="L770" s="26"/>
      <c r="M770" s="26"/>
      <c r="O770" s="26"/>
      <c r="P770" s="26"/>
      <c r="Q770" s="26"/>
      <c r="R770" s="26"/>
    </row>
    <row r="771" spans="2:18" ht="16.5" x14ac:dyDescent="0.3">
      <c r="B771" s="343" t="s">
        <v>382</v>
      </c>
      <c r="C771" s="344" t="s">
        <v>709</v>
      </c>
      <c r="D771" s="345" t="s">
        <v>856</v>
      </c>
      <c r="F771"/>
      <c r="G771"/>
      <c r="H771"/>
      <c r="J771" s="26"/>
      <c r="K771" s="26"/>
      <c r="L771" s="26"/>
      <c r="M771" s="26"/>
      <c r="O771" s="26"/>
      <c r="P771" s="26"/>
      <c r="Q771" s="26"/>
      <c r="R771" s="26"/>
    </row>
    <row r="772" spans="2:18" ht="16.5" x14ac:dyDescent="0.3">
      <c r="B772" s="343" t="s">
        <v>382</v>
      </c>
      <c r="C772" s="344" t="s">
        <v>709</v>
      </c>
      <c r="D772" s="345" t="s">
        <v>857</v>
      </c>
      <c r="F772"/>
      <c r="G772"/>
      <c r="H772"/>
      <c r="J772" s="26"/>
      <c r="K772" s="26"/>
      <c r="L772" s="26"/>
      <c r="M772" s="26"/>
      <c r="O772" s="26"/>
      <c r="P772" s="26"/>
      <c r="Q772" s="26"/>
      <c r="R772" s="26"/>
    </row>
    <row r="773" spans="2:18" ht="16.5" x14ac:dyDescent="0.3">
      <c r="B773" s="343" t="s">
        <v>382</v>
      </c>
      <c r="C773" s="344" t="s">
        <v>709</v>
      </c>
      <c r="D773" s="345" t="s">
        <v>858</v>
      </c>
      <c r="F773"/>
      <c r="G773"/>
      <c r="H773"/>
      <c r="J773" s="26"/>
      <c r="K773" s="26"/>
      <c r="L773" s="26"/>
      <c r="M773" s="26"/>
      <c r="O773" s="26"/>
      <c r="P773" s="26"/>
      <c r="Q773" s="26"/>
      <c r="R773" s="26"/>
    </row>
    <row r="774" spans="2:18" ht="16.5" x14ac:dyDescent="0.3">
      <c r="B774" s="343" t="s">
        <v>382</v>
      </c>
      <c r="C774" s="344" t="s">
        <v>709</v>
      </c>
      <c r="D774" s="345" t="s">
        <v>859</v>
      </c>
      <c r="F774"/>
      <c r="G774"/>
      <c r="H774"/>
      <c r="J774" s="26"/>
      <c r="K774" s="26"/>
      <c r="L774" s="26"/>
      <c r="M774" s="26"/>
      <c r="O774" s="26"/>
      <c r="P774" s="26"/>
      <c r="Q774" s="26"/>
      <c r="R774" s="26"/>
    </row>
    <row r="775" spans="2:18" ht="16.5" x14ac:dyDescent="0.3">
      <c r="B775" s="343" t="s">
        <v>382</v>
      </c>
      <c r="C775" s="344" t="s">
        <v>709</v>
      </c>
      <c r="D775" s="345" t="s">
        <v>860</v>
      </c>
      <c r="F775"/>
      <c r="G775"/>
      <c r="H775"/>
      <c r="J775" s="26"/>
      <c r="K775" s="26"/>
      <c r="L775" s="26"/>
      <c r="M775" s="26"/>
      <c r="O775" s="26"/>
      <c r="P775" s="26"/>
      <c r="Q775" s="26"/>
      <c r="R775" s="26"/>
    </row>
    <row r="776" spans="2:18" ht="16.5" x14ac:dyDescent="0.3">
      <c r="B776" s="343" t="s">
        <v>382</v>
      </c>
      <c r="C776" s="344" t="s">
        <v>709</v>
      </c>
      <c r="D776" s="345" t="s">
        <v>861</v>
      </c>
      <c r="F776"/>
      <c r="G776"/>
      <c r="H776"/>
      <c r="J776" s="26"/>
      <c r="K776" s="26"/>
      <c r="L776" s="26"/>
      <c r="M776" s="26"/>
      <c r="O776" s="26"/>
      <c r="P776" s="26"/>
      <c r="Q776" s="26"/>
      <c r="R776" s="26"/>
    </row>
    <row r="777" spans="2:18" ht="16.5" x14ac:dyDescent="0.3">
      <c r="B777" s="343" t="s">
        <v>382</v>
      </c>
      <c r="C777" s="344" t="s">
        <v>729</v>
      </c>
      <c r="D777" s="345" t="s">
        <v>862</v>
      </c>
      <c r="F777"/>
      <c r="G777"/>
      <c r="H777"/>
      <c r="J777" s="26"/>
      <c r="K777" s="26"/>
      <c r="L777" s="26"/>
      <c r="M777" s="26"/>
      <c r="O777" s="26"/>
      <c r="P777" s="26"/>
      <c r="Q777" s="26"/>
      <c r="R777" s="26"/>
    </row>
    <row r="778" spans="2:18" ht="16.5" x14ac:dyDescent="0.3">
      <c r="B778" s="343" t="s">
        <v>382</v>
      </c>
      <c r="C778" s="344" t="s">
        <v>729</v>
      </c>
      <c r="D778" s="345" t="s">
        <v>863</v>
      </c>
      <c r="F778"/>
      <c r="G778"/>
      <c r="H778"/>
      <c r="J778" s="26"/>
      <c r="K778" s="26"/>
      <c r="L778" s="26"/>
      <c r="M778" s="26"/>
      <c r="O778" s="26"/>
      <c r="P778" s="26"/>
      <c r="Q778" s="26"/>
      <c r="R778" s="26"/>
    </row>
    <row r="779" spans="2:18" ht="16.5" x14ac:dyDescent="0.3">
      <c r="B779" s="343" t="s">
        <v>382</v>
      </c>
      <c r="C779" s="344" t="s">
        <v>729</v>
      </c>
      <c r="D779" s="345" t="s">
        <v>864</v>
      </c>
      <c r="F779"/>
      <c r="G779"/>
      <c r="H779"/>
      <c r="J779" s="26"/>
      <c r="K779" s="26"/>
      <c r="L779" s="26"/>
      <c r="M779" s="26"/>
      <c r="O779" s="26"/>
      <c r="P779" s="26"/>
      <c r="Q779" s="26"/>
      <c r="R779" s="26"/>
    </row>
    <row r="780" spans="2:18" ht="16.5" x14ac:dyDescent="0.3">
      <c r="B780" s="343" t="s">
        <v>382</v>
      </c>
      <c r="C780" s="344" t="s">
        <v>729</v>
      </c>
      <c r="D780" s="345" t="s">
        <v>865</v>
      </c>
      <c r="F780"/>
      <c r="G780"/>
      <c r="H780"/>
      <c r="J780" s="26"/>
      <c r="K780" s="26"/>
      <c r="L780" s="26"/>
      <c r="M780" s="26"/>
      <c r="O780" s="26"/>
      <c r="P780" s="26"/>
      <c r="Q780" s="26"/>
      <c r="R780" s="26"/>
    </row>
    <row r="781" spans="2:18" ht="16.5" x14ac:dyDescent="0.3">
      <c r="B781" s="343" t="s">
        <v>382</v>
      </c>
      <c r="C781" s="344" t="s">
        <v>729</v>
      </c>
      <c r="D781" s="345" t="s">
        <v>866</v>
      </c>
      <c r="F781"/>
      <c r="G781"/>
      <c r="H781"/>
      <c r="J781" s="26"/>
      <c r="K781" s="26"/>
      <c r="L781" s="26"/>
      <c r="M781" s="26"/>
      <c r="O781" s="26"/>
      <c r="P781" s="26"/>
      <c r="Q781" s="26"/>
      <c r="R781" s="26"/>
    </row>
    <row r="782" spans="2:18" ht="16.5" x14ac:dyDescent="0.3">
      <c r="B782" s="343" t="s">
        <v>382</v>
      </c>
      <c r="C782" s="344" t="s">
        <v>713</v>
      </c>
      <c r="D782" s="345" t="s">
        <v>867</v>
      </c>
      <c r="F782"/>
      <c r="G782"/>
      <c r="H782"/>
      <c r="J782" s="26"/>
      <c r="K782" s="26"/>
      <c r="L782" s="26"/>
      <c r="M782" s="26"/>
      <c r="O782" s="26"/>
      <c r="P782" s="26"/>
      <c r="Q782" s="26"/>
      <c r="R782" s="26"/>
    </row>
    <row r="783" spans="2:18" ht="16.5" x14ac:dyDescent="0.3">
      <c r="B783" s="343" t="s">
        <v>382</v>
      </c>
      <c r="C783" s="344" t="s">
        <v>713</v>
      </c>
      <c r="D783" s="345" t="s">
        <v>868</v>
      </c>
      <c r="F783"/>
      <c r="G783"/>
      <c r="H783"/>
      <c r="J783" s="26"/>
      <c r="K783" s="26"/>
      <c r="L783" s="26"/>
      <c r="M783" s="26"/>
      <c r="O783" s="26"/>
      <c r="P783" s="26"/>
      <c r="Q783" s="26"/>
      <c r="R783" s="26"/>
    </row>
    <row r="784" spans="2:18" ht="16.5" x14ac:dyDescent="0.3">
      <c r="B784" s="343" t="s">
        <v>382</v>
      </c>
      <c r="C784" s="344" t="s">
        <v>729</v>
      </c>
      <c r="D784" s="345" t="s">
        <v>869</v>
      </c>
      <c r="F784"/>
      <c r="G784"/>
      <c r="H784"/>
      <c r="J784" s="26"/>
      <c r="K784" s="26"/>
      <c r="L784" s="26"/>
      <c r="M784" s="26"/>
      <c r="O784" s="26"/>
      <c r="P784" s="26"/>
      <c r="Q784" s="26"/>
      <c r="R784" s="26"/>
    </row>
    <row r="785" spans="2:18" ht="16.5" x14ac:dyDescent="0.3">
      <c r="B785" s="343" t="s">
        <v>382</v>
      </c>
      <c r="C785" s="344" t="s">
        <v>713</v>
      </c>
      <c r="D785" s="345" t="s">
        <v>870</v>
      </c>
      <c r="F785"/>
      <c r="G785"/>
      <c r="H785"/>
      <c r="J785" s="26"/>
      <c r="K785" s="26"/>
      <c r="L785" s="26"/>
      <c r="M785" s="26"/>
      <c r="O785" s="26"/>
      <c r="P785" s="26"/>
      <c r="Q785" s="26"/>
      <c r="R785" s="26"/>
    </row>
    <row r="786" spans="2:18" ht="16.5" x14ac:dyDescent="0.3">
      <c r="B786" s="343" t="s">
        <v>382</v>
      </c>
      <c r="C786" s="344" t="s">
        <v>729</v>
      </c>
      <c r="D786" s="345" t="s">
        <v>871</v>
      </c>
      <c r="F786"/>
      <c r="G786"/>
      <c r="H786"/>
      <c r="J786" s="26"/>
      <c r="K786" s="26"/>
      <c r="L786" s="26"/>
      <c r="M786" s="26"/>
      <c r="O786" s="26"/>
      <c r="P786" s="26"/>
      <c r="Q786" s="26"/>
      <c r="R786" s="26"/>
    </row>
    <row r="787" spans="2:18" ht="16.5" x14ac:dyDescent="0.3">
      <c r="B787" s="343" t="s">
        <v>382</v>
      </c>
      <c r="C787" s="344" t="s">
        <v>729</v>
      </c>
      <c r="D787" s="345" t="s">
        <v>872</v>
      </c>
      <c r="F787"/>
      <c r="G787"/>
      <c r="H787"/>
      <c r="J787" s="26"/>
      <c r="K787" s="26"/>
      <c r="L787" s="26"/>
      <c r="M787" s="26"/>
      <c r="O787" s="26"/>
      <c r="P787" s="26"/>
      <c r="Q787" s="26"/>
      <c r="R787" s="26"/>
    </row>
    <row r="788" spans="2:18" ht="16.5" x14ac:dyDescent="0.3">
      <c r="B788" s="343" t="s">
        <v>382</v>
      </c>
      <c r="C788" s="344" t="s">
        <v>729</v>
      </c>
      <c r="D788" s="345" t="s">
        <v>873</v>
      </c>
      <c r="F788"/>
      <c r="G788"/>
      <c r="H788"/>
      <c r="J788" s="26"/>
      <c r="K788" s="26"/>
      <c r="L788" s="26"/>
      <c r="M788" s="26"/>
      <c r="O788" s="26"/>
      <c r="P788" s="26"/>
      <c r="Q788" s="26"/>
      <c r="R788" s="26"/>
    </row>
    <row r="789" spans="2:18" ht="16.5" x14ac:dyDescent="0.3">
      <c r="B789" s="343" t="s">
        <v>382</v>
      </c>
      <c r="C789" s="344" t="s">
        <v>729</v>
      </c>
      <c r="D789" s="345" t="s">
        <v>874</v>
      </c>
      <c r="F789"/>
      <c r="G789"/>
      <c r="H789"/>
      <c r="J789" s="26"/>
      <c r="K789" s="26"/>
      <c r="L789" s="26"/>
      <c r="M789" s="26"/>
      <c r="O789" s="26"/>
      <c r="P789" s="26"/>
      <c r="Q789" s="26"/>
      <c r="R789" s="26"/>
    </row>
    <row r="790" spans="2:18" ht="16.5" x14ac:dyDescent="0.3">
      <c r="B790" s="343" t="s">
        <v>382</v>
      </c>
      <c r="C790" s="344" t="s">
        <v>729</v>
      </c>
      <c r="D790" s="345" t="s">
        <v>875</v>
      </c>
      <c r="F790"/>
      <c r="G790"/>
      <c r="H790"/>
      <c r="J790" s="26"/>
      <c r="K790" s="26"/>
      <c r="L790" s="26"/>
      <c r="M790" s="26"/>
      <c r="O790" s="26"/>
      <c r="P790" s="26"/>
      <c r="Q790" s="26"/>
      <c r="R790" s="26"/>
    </row>
    <row r="791" spans="2:18" ht="16.5" x14ac:dyDescent="0.3">
      <c r="B791" s="343" t="s">
        <v>382</v>
      </c>
      <c r="C791" s="344" t="s">
        <v>729</v>
      </c>
      <c r="D791" s="345" t="s">
        <v>876</v>
      </c>
      <c r="F791"/>
      <c r="G791"/>
      <c r="H791"/>
      <c r="J791" s="26"/>
      <c r="K791" s="26"/>
      <c r="L791" s="26"/>
      <c r="M791" s="26"/>
      <c r="O791" s="26"/>
      <c r="P791" s="26"/>
      <c r="Q791" s="26"/>
      <c r="R791" s="26"/>
    </row>
    <row r="792" spans="2:18" ht="16.5" x14ac:dyDescent="0.3">
      <c r="B792" s="343" t="s">
        <v>382</v>
      </c>
      <c r="C792" s="344" t="s">
        <v>729</v>
      </c>
      <c r="D792" s="345" t="s">
        <v>877</v>
      </c>
      <c r="F792"/>
      <c r="G792"/>
      <c r="H792"/>
      <c r="J792" s="26"/>
      <c r="K792" s="26"/>
      <c r="L792" s="26"/>
      <c r="M792" s="26"/>
      <c r="O792" s="26"/>
      <c r="P792" s="26"/>
      <c r="Q792" s="26"/>
      <c r="R792" s="26"/>
    </row>
    <row r="793" spans="2:18" ht="16.5" x14ac:dyDescent="0.3">
      <c r="B793" s="343" t="s">
        <v>382</v>
      </c>
      <c r="C793" s="344" t="s">
        <v>729</v>
      </c>
      <c r="D793" s="345" t="s">
        <v>878</v>
      </c>
      <c r="F793"/>
      <c r="G793"/>
      <c r="H793"/>
      <c r="J793" s="26"/>
      <c r="K793" s="26"/>
      <c r="L793" s="26"/>
      <c r="M793" s="26"/>
      <c r="O793" s="26"/>
      <c r="P793" s="26"/>
      <c r="Q793" s="26"/>
      <c r="R793" s="26"/>
    </row>
    <row r="794" spans="2:18" ht="16.5" x14ac:dyDescent="0.3">
      <c r="B794" s="343" t="s">
        <v>382</v>
      </c>
      <c r="C794" s="344" t="s">
        <v>707</v>
      </c>
      <c r="D794" s="345" t="s">
        <v>879</v>
      </c>
      <c r="F794"/>
      <c r="G794"/>
      <c r="H794"/>
      <c r="J794" s="26"/>
      <c r="K794" s="26"/>
      <c r="L794" s="26"/>
      <c r="M794" s="26"/>
      <c r="O794" s="26"/>
      <c r="P794" s="26"/>
      <c r="Q794" s="26"/>
      <c r="R794" s="26"/>
    </row>
    <row r="795" spans="2:18" ht="16.5" x14ac:dyDescent="0.3">
      <c r="B795" s="343" t="s">
        <v>382</v>
      </c>
      <c r="C795" s="344" t="s">
        <v>707</v>
      </c>
      <c r="D795" s="345" t="s">
        <v>880</v>
      </c>
      <c r="F795"/>
      <c r="G795"/>
      <c r="H795"/>
      <c r="J795" s="26"/>
      <c r="K795" s="26"/>
      <c r="L795" s="26"/>
      <c r="M795" s="26"/>
      <c r="O795" s="26"/>
      <c r="P795" s="26"/>
      <c r="Q795" s="26"/>
      <c r="R795" s="26"/>
    </row>
    <row r="796" spans="2:18" ht="16.5" x14ac:dyDescent="0.3">
      <c r="B796" s="343" t="s">
        <v>382</v>
      </c>
      <c r="C796" s="344" t="s">
        <v>707</v>
      </c>
      <c r="D796" s="345" t="s">
        <v>881</v>
      </c>
      <c r="F796"/>
      <c r="G796"/>
      <c r="H796"/>
      <c r="J796" s="26"/>
      <c r="K796" s="26"/>
      <c r="L796" s="26"/>
      <c r="M796" s="26"/>
      <c r="O796" s="26"/>
      <c r="P796" s="26"/>
      <c r="Q796" s="26"/>
      <c r="R796" s="26"/>
    </row>
    <row r="797" spans="2:18" ht="16.5" x14ac:dyDescent="0.3">
      <c r="B797" s="343" t="s">
        <v>382</v>
      </c>
      <c r="C797" s="344" t="s">
        <v>707</v>
      </c>
      <c r="D797" s="345" t="s">
        <v>882</v>
      </c>
      <c r="F797"/>
      <c r="G797"/>
      <c r="H797"/>
      <c r="J797" s="26"/>
      <c r="K797" s="26"/>
      <c r="L797" s="26"/>
      <c r="M797" s="26"/>
      <c r="O797" s="26"/>
      <c r="P797" s="26"/>
      <c r="Q797" s="26"/>
      <c r="R797" s="26"/>
    </row>
    <row r="798" spans="2:18" ht="16.5" x14ac:dyDescent="0.3">
      <c r="B798" s="343" t="s">
        <v>382</v>
      </c>
      <c r="C798" s="344" t="s">
        <v>707</v>
      </c>
      <c r="D798" s="345" t="s">
        <v>883</v>
      </c>
      <c r="F798"/>
      <c r="G798"/>
      <c r="H798"/>
      <c r="J798" s="26"/>
      <c r="K798" s="26"/>
      <c r="L798" s="26"/>
      <c r="M798" s="26"/>
      <c r="O798" s="26"/>
      <c r="P798" s="26"/>
      <c r="Q798" s="26"/>
      <c r="R798" s="26"/>
    </row>
    <row r="799" spans="2:18" ht="16.5" x14ac:dyDescent="0.3">
      <c r="B799" s="343" t="s">
        <v>382</v>
      </c>
      <c r="C799" s="344" t="s">
        <v>707</v>
      </c>
      <c r="D799" s="345" t="s">
        <v>884</v>
      </c>
      <c r="F799"/>
      <c r="G799"/>
      <c r="H799"/>
      <c r="J799" s="26"/>
      <c r="K799" s="26"/>
      <c r="L799" s="26"/>
      <c r="M799" s="26"/>
      <c r="O799" s="26"/>
      <c r="P799" s="26"/>
      <c r="Q799" s="26"/>
      <c r="R799" s="26"/>
    </row>
    <row r="800" spans="2:18" ht="16.5" x14ac:dyDescent="0.3">
      <c r="B800" s="343" t="s">
        <v>382</v>
      </c>
      <c r="C800" s="344" t="s">
        <v>707</v>
      </c>
      <c r="D800" s="345" t="s">
        <v>885</v>
      </c>
      <c r="F800"/>
      <c r="G800"/>
      <c r="H800"/>
      <c r="J800" s="26"/>
      <c r="K800" s="26"/>
      <c r="L800" s="26"/>
      <c r="M800" s="26"/>
      <c r="O800" s="26"/>
      <c r="P800" s="26"/>
      <c r="Q800" s="26"/>
      <c r="R800" s="26"/>
    </row>
    <row r="801" spans="2:18" ht="16.5" x14ac:dyDescent="0.3">
      <c r="B801" s="343" t="s">
        <v>382</v>
      </c>
      <c r="C801" s="344" t="s">
        <v>707</v>
      </c>
      <c r="D801" s="345" t="s">
        <v>886</v>
      </c>
      <c r="F801"/>
      <c r="G801"/>
      <c r="H801"/>
      <c r="J801" s="26"/>
      <c r="K801" s="26"/>
      <c r="L801" s="26"/>
      <c r="M801" s="26"/>
      <c r="O801" s="26"/>
      <c r="P801" s="26"/>
      <c r="Q801" s="26"/>
      <c r="R801" s="26"/>
    </row>
    <row r="802" spans="2:18" ht="16.5" x14ac:dyDescent="0.3">
      <c r="B802" s="343" t="s">
        <v>382</v>
      </c>
      <c r="C802" s="344" t="s">
        <v>713</v>
      </c>
      <c r="D802" s="345" t="s">
        <v>887</v>
      </c>
      <c r="F802"/>
      <c r="G802"/>
      <c r="H802"/>
      <c r="J802" s="26"/>
      <c r="K802" s="26"/>
      <c r="L802" s="26"/>
      <c r="M802" s="26"/>
      <c r="O802" s="26"/>
      <c r="P802" s="26"/>
      <c r="Q802" s="26"/>
      <c r="R802" s="26"/>
    </row>
    <row r="803" spans="2:18" ht="16.5" x14ac:dyDescent="0.3">
      <c r="B803" s="343" t="s">
        <v>382</v>
      </c>
      <c r="C803" s="344" t="s">
        <v>713</v>
      </c>
      <c r="D803" s="345" t="s">
        <v>888</v>
      </c>
      <c r="F803"/>
      <c r="G803"/>
      <c r="H803"/>
      <c r="J803" s="26"/>
      <c r="K803" s="26"/>
      <c r="L803" s="26"/>
      <c r="M803" s="26"/>
      <c r="O803" s="26"/>
      <c r="P803" s="26"/>
      <c r="Q803" s="26"/>
      <c r="R803" s="26"/>
    </row>
    <row r="804" spans="2:18" ht="16.5" x14ac:dyDescent="0.3">
      <c r="B804" s="343" t="s">
        <v>382</v>
      </c>
      <c r="C804" s="344" t="s">
        <v>713</v>
      </c>
      <c r="D804" s="345" t="s">
        <v>889</v>
      </c>
      <c r="F804"/>
      <c r="G804"/>
      <c r="H804"/>
      <c r="J804" s="26"/>
      <c r="K804" s="26"/>
      <c r="L804" s="26"/>
      <c r="M804" s="26"/>
      <c r="O804" s="26"/>
      <c r="P804" s="26"/>
      <c r="Q804" s="26"/>
      <c r="R804" s="26"/>
    </row>
    <row r="805" spans="2:18" ht="16.5" x14ac:dyDescent="0.3">
      <c r="B805" s="343" t="s">
        <v>382</v>
      </c>
      <c r="C805" s="344" t="s">
        <v>713</v>
      </c>
      <c r="D805" s="345" t="s">
        <v>890</v>
      </c>
      <c r="F805"/>
      <c r="G805"/>
      <c r="H805"/>
      <c r="J805" s="26"/>
      <c r="K805" s="26"/>
      <c r="L805" s="26"/>
      <c r="M805" s="26"/>
      <c r="O805" s="26"/>
      <c r="P805" s="26"/>
      <c r="Q805" s="26"/>
      <c r="R805" s="26"/>
    </row>
    <row r="806" spans="2:18" ht="16.5" x14ac:dyDescent="0.3">
      <c r="B806" s="343" t="s">
        <v>382</v>
      </c>
      <c r="C806" s="344" t="s">
        <v>713</v>
      </c>
      <c r="D806" s="345" t="s">
        <v>891</v>
      </c>
      <c r="F806"/>
      <c r="G806"/>
      <c r="H806"/>
      <c r="J806" s="26"/>
      <c r="K806" s="26"/>
      <c r="L806" s="26"/>
      <c r="M806" s="26"/>
      <c r="O806" s="26"/>
      <c r="P806" s="26"/>
      <c r="Q806" s="26"/>
      <c r="R806" s="26"/>
    </row>
    <row r="807" spans="2:18" ht="16.5" x14ac:dyDescent="0.3">
      <c r="B807" s="343" t="s">
        <v>382</v>
      </c>
      <c r="C807" s="344" t="s">
        <v>709</v>
      </c>
      <c r="D807" s="345" t="s">
        <v>892</v>
      </c>
      <c r="F807"/>
      <c r="G807"/>
      <c r="H807"/>
      <c r="J807" s="26"/>
      <c r="K807" s="26"/>
      <c r="L807" s="26"/>
      <c r="M807" s="26"/>
      <c r="O807" s="26"/>
      <c r="P807" s="26"/>
      <c r="Q807" s="26"/>
      <c r="R807" s="26"/>
    </row>
    <row r="808" spans="2:18" ht="16.5" x14ac:dyDescent="0.3">
      <c r="B808" s="343" t="s">
        <v>382</v>
      </c>
      <c r="C808" s="344" t="s">
        <v>709</v>
      </c>
      <c r="D808" s="345" t="s">
        <v>893</v>
      </c>
      <c r="F808"/>
      <c r="G808"/>
      <c r="H808"/>
      <c r="J808" s="26"/>
      <c r="K808" s="26"/>
      <c r="L808" s="26"/>
      <c r="M808" s="26"/>
      <c r="O808" s="26"/>
      <c r="P808" s="26"/>
      <c r="Q808" s="26"/>
      <c r="R808" s="26"/>
    </row>
    <row r="809" spans="2:18" ht="16.5" x14ac:dyDescent="0.3">
      <c r="B809" s="343" t="s">
        <v>382</v>
      </c>
      <c r="C809" s="344" t="s">
        <v>709</v>
      </c>
      <c r="D809" s="345" t="s">
        <v>894</v>
      </c>
      <c r="F809"/>
      <c r="G809"/>
      <c r="H809"/>
      <c r="J809" s="26"/>
      <c r="K809" s="26"/>
      <c r="L809" s="26"/>
      <c r="M809" s="26"/>
      <c r="O809" s="26"/>
      <c r="P809" s="26"/>
      <c r="Q809" s="26"/>
      <c r="R809" s="26"/>
    </row>
    <row r="810" spans="2:18" ht="16.5" x14ac:dyDescent="0.3">
      <c r="B810" s="343" t="s">
        <v>382</v>
      </c>
      <c r="C810" s="344" t="s">
        <v>709</v>
      </c>
      <c r="D810" s="345" t="s">
        <v>895</v>
      </c>
      <c r="F810"/>
      <c r="G810"/>
      <c r="H810"/>
      <c r="J810" s="26"/>
      <c r="K810" s="26"/>
      <c r="L810" s="26"/>
      <c r="M810" s="26"/>
      <c r="O810" s="26"/>
      <c r="P810" s="26"/>
      <c r="Q810" s="26"/>
      <c r="R810" s="26"/>
    </row>
    <row r="811" spans="2:18" ht="16.5" x14ac:dyDescent="0.3">
      <c r="B811" s="343" t="s">
        <v>382</v>
      </c>
      <c r="C811" s="344" t="s">
        <v>709</v>
      </c>
      <c r="D811" s="345" t="s">
        <v>896</v>
      </c>
      <c r="F811"/>
      <c r="G811"/>
      <c r="H811"/>
      <c r="J811" s="26"/>
      <c r="K811" s="26"/>
      <c r="L811" s="26"/>
      <c r="M811" s="26"/>
      <c r="O811" s="26"/>
      <c r="P811" s="26"/>
      <c r="Q811" s="26"/>
      <c r="R811" s="26"/>
    </row>
    <row r="812" spans="2:18" ht="16.5" x14ac:dyDescent="0.3">
      <c r="B812" s="343" t="s">
        <v>382</v>
      </c>
      <c r="C812" s="344" t="s">
        <v>709</v>
      </c>
      <c r="D812" s="345" t="s">
        <v>897</v>
      </c>
      <c r="F812"/>
      <c r="G812"/>
      <c r="H812"/>
      <c r="J812" s="26"/>
      <c r="K812" s="26"/>
      <c r="L812" s="26"/>
      <c r="M812" s="26"/>
      <c r="O812" s="26"/>
      <c r="P812" s="26"/>
      <c r="Q812" s="26"/>
      <c r="R812" s="26"/>
    </row>
    <row r="813" spans="2:18" ht="16.5" x14ac:dyDescent="0.3">
      <c r="B813" s="343" t="s">
        <v>382</v>
      </c>
      <c r="C813" s="344" t="s">
        <v>709</v>
      </c>
      <c r="D813" s="345" t="s">
        <v>898</v>
      </c>
      <c r="F813"/>
      <c r="G813"/>
      <c r="H813"/>
      <c r="J813" s="26"/>
      <c r="K813" s="26"/>
      <c r="L813" s="26"/>
      <c r="M813" s="26"/>
      <c r="O813" s="26"/>
      <c r="P813" s="26"/>
      <c r="Q813" s="26"/>
      <c r="R813" s="26"/>
    </row>
    <row r="814" spans="2:18" ht="16.5" x14ac:dyDescent="0.3">
      <c r="B814" s="343" t="s">
        <v>382</v>
      </c>
      <c r="C814" s="344" t="s">
        <v>709</v>
      </c>
      <c r="D814" s="345" t="s">
        <v>899</v>
      </c>
      <c r="F814"/>
      <c r="G814"/>
      <c r="H814"/>
      <c r="J814" s="26"/>
      <c r="K814" s="26"/>
      <c r="L814" s="26"/>
      <c r="M814" s="26"/>
      <c r="O814" s="26"/>
      <c r="P814" s="26"/>
      <c r="Q814" s="26"/>
      <c r="R814" s="26"/>
    </row>
    <row r="815" spans="2:18" ht="16.5" x14ac:dyDescent="0.3">
      <c r="B815" s="343" t="s">
        <v>382</v>
      </c>
      <c r="C815" s="344" t="s">
        <v>709</v>
      </c>
      <c r="D815" s="345" t="s">
        <v>900</v>
      </c>
      <c r="F815"/>
      <c r="G815"/>
      <c r="H815"/>
      <c r="J815" s="26"/>
      <c r="K815" s="26"/>
      <c r="L815" s="26"/>
      <c r="M815" s="26"/>
      <c r="O815" s="26"/>
      <c r="P815" s="26"/>
      <c r="Q815" s="26"/>
      <c r="R815" s="26"/>
    </row>
    <row r="816" spans="2:18" ht="16.5" x14ac:dyDescent="0.3">
      <c r="B816" s="343" t="s">
        <v>382</v>
      </c>
      <c r="C816" s="344" t="s">
        <v>709</v>
      </c>
      <c r="D816" s="345" t="s">
        <v>901</v>
      </c>
      <c r="F816"/>
      <c r="G816"/>
      <c r="H816"/>
      <c r="J816" s="26"/>
      <c r="K816" s="26"/>
      <c r="L816" s="26"/>
      <c r="M816" s="26"/>
      <c r="O816" s="26"/>
      <c r="P816" s="26"/>
      <c r="Q816" s="26"/>
      <c r="R816" s="26"/>
    </row>
    <row r="817" spans="2:18" ht="16.5" x14ac:dyDescent="0.3">
      <c r="B817" s="343" t="s">
        <v>382</v>
      </c>
      <c r="C817" s="344" t="s">
        <v>709</v>
      </c>
      <c r="D817" s="345" t="s">
        <v>902</v>
      </c>
      <c r="F817"/>
      <c r="G817"/>
      <c r="H817"/>
      <c r="J817" s="26"/>
      <c r="K817" s="26"/>
      <c r="L817" s="26"/>
      <c r="M817" s="26"/>
      <c r="O817" s="26"/>
      <c r="P817" s="26"/>
      <c r="Q817" s="26"/>
      <c r="R817" s="26"/>
    </row>
    <row r="818" spans="2:18" ht="16.5" x14ac:dyDescent="0.3">
      <c r="B818" s="343" t="s">
        <v>382</v>
      </c>
      <c r="C818" s="344" t="s">
        <v>709</v>
      </c>
      <c r="D818" s="345" t="s">
        <v>903</v>
      </c>
      <c r="F818"/>
      <c r="G818"/>
      <c r="H818"/>
      <c r="J818" s="26"/>
      <c r="K818" s="26"/>
      <c r="L818" s="26"/>
      <c r="M818" s="26"/>
      <c r="O818" s="26"/>
      <c r="P818" s="26"/>
      <c r="Q818" s="26"/>
      <c r="R818" s="26"/>
    </row>
    <row r="819" spans="2:18" ht="16.5" x14ac:dyDescent="0.3">
      <c r="B819" s="343" t="s">
        <v>382</v>
      </c>
      <c r="C819" s="344" t="s">
        <v>709</v>
      </c>
      <c r="D819" s="345" t="s">
        <v>904</v>
      </c>
      <c r="F819"/>
      <c r="G819"/>
      <c r="H819"/>
      <c r="J819" s="26"/>
      <c r="K819" s="26"/>
      <c r="L819" s="26"/>
      <c r="M819" s="26"/>
      <c r="O819" s="26"/>
      <c r="P819" s="26"/>
      <c r="Q819" s="26"/>
      <c r="R819" s="26"/>
    </row>
    <row r="820" spans="2:18" ht="16.5" x14ac:dyDescent="0.3">
      <c r="B820" s="343" t="s">
        <v>382</v>
      </c>
      <c r="C820" s="344" t="s">
        <v>709</v>
      </c>
      <c r="D820" s="345" t="s">
        <v>905</v>
      </c>
      <c r="F820"/>
      <c r="G820"/>
      <c r="H820"/>
      <c r="J820" s="26"/>
      <c r="K820" s="26"/>
      <c r="L820" s="26"/>
      <c r="M820" s="26"/>
      <c r="O820" s="26"/>
      <c r="P820" s="26"/>
      <c r="Q820" s="26"/>
      <c r="R820" s="26"/>
    </row>
    <row r="821" spans="2:18" ht="16.5" x14ac:dyDescent="0.3">
      <c r="B821" s="343" t="s">
        <v>382</v>
      </c>
      <c r="C821" s="344" t="s">
        <v>709</v>
      </c>
      <c r="D821" s="345" t="s">
        <v>906</v>
      </c>
      <c r="F821"/>
      <c r="G821"/>
      <c r="H821"/>
      <c r="J821" s="26"/>
      <c r="K821" s="26"/>
      <c r="L821" s="26"/>
      <c r="M821" s="26"/>
      <c r="O821" s="26"/>
      <c r="P821" s="26"/>
      <c r="Q821" s="26"/>
      <c r="R821" s="26"/>
    </row>
    <row r="822" spans="2:18" ht="16.5" x14ac:dyDescent="0.3">
      <c r="B822" s="343" t="s">
        <v>382</v>
      </c>
      <c r="C822" s="344" t="s">
        <v>709</v>
      </c>
      <c r="D822" s="345" t="s">
        <v>907</v>
      </c>
      <c r="F822"/>
      <c r="G822"/>
      <c r="H822"/>
      <c r="J822" s="26"/>
      <c r="K822" s="26"/>
      <c r="L822" s="26"/>
      <c r="M822" s="26"/>
      <c r="O822" s="26"/>
      <c r="P822" s="26"/>
      <c r="Q822" s="26"/>
      <c r="R822" s="26"/>
    </row>
    <row r="823" spans="2:18" ht="16.5" x14ac:dyDescent="0.3">
      <c r="B823" s="343" t="s">
        <v>382</v>
      </c>
      <c r="C823" s="344" t="s">
        <v>709</v>
      </c>
      <c r="D823" s="345" t="s">
        <v>908</v>
      </c>
      <c r="F823"/>
      <c r="G823"/>
      <c r="H823"/>
      <c r="J823" s="26"/>
      <c r="K823" s="26"/>
      <c r="L823" s="26"/>
      <c r="M823" s="26"/>
      <c r="O823" s="26"/>
      <c r="P823" s="26"/>
      <c r="Q823" s="26"/>
      <c r="R823" s="26"/>
    </row>
    <row r="824" spans="2:18" ht="16.5" x14ac:dyDescent="0.3">
      <c r="B824" s="343" t="s">
        <v>382</v>
      </c>
      <c r="C824" s="344" t="s">
        <v>709</v>
      </c>
      <c r="D824" s="345" t="s">
        <v>909</v>
      </c>
      <c r="F824"/>
      <c r="G824"/>
      <c r="H824"/>
      <c r="J824" s="26"/>
      <c r="K824" s="26"/>
      <c r="L824" s="26"/>
      <c r="M824" s="26"/>
      <c r="O824" s="26"/>
      <c r="P824" s="26"/>
      <c r="Q824" s="26"/>
      <c r="R824" s="26"/>
    </row>
    <row r="825" spans="2:18" ht="16.5" x14ac:dyDescent="0.3">
      <c r="B825" s="343" t="s">
        <v>382</v>
      </c>
      <c r="C825" s="344" t="s">
        <v>709</v>
      </c>
      <c r="D825" s="345" t="s">
        <v>910</v>
      </c>
      <c r="F825"/>
      <c r="G825"/>
      <c r="H825"/>
      <c r="J825" s="26"/>
      <c r="K825" s="26"/>
      <c r="L825" s="26"/>
      <c r="M825" s="26"/>
      <c r="O825" s="26"/>
      <c r="P825" s="26"/>
      <c r="Q825" s="26"/>
      <c r="R825" s="26"/>
    </row>
    <row r="826" spans="2:18" ht="16.5" x14ac:dyDescent="0.3">
      <c r="B826" s="343" t="s">
        <v>382</v>
      </c>
      <c r="C826" s="344" t="s">
        <v>709</v>
      </c>
      <c r="D826" s="345" t="s">
        <v>911</v>
      </c>
      <c r="F826"/>
      <c r="G826"/>
      <c r="H826"/>
      <c r="J826" s="26"/>
      <c r="K826" s="26"/>
      <c r="L826" s="26"/>
      <c r="M826" s="26"/>
      <c r="O826" s="26"/>
      <c r="P826" s="26"/>
      <c r="Q826" s="26"/>
      <c r="R826" s="26"/>
    </row>
    <row r="827" spans="2:18" ht="16.5" x14ac:dyDescent="0.3">
      <c r="B827" s="343" t="s">
        <v>382</v>
      </c>
      <c r="C827" s="344" t="s">
        <v>912</v>
      </c>
      <c r="D827" s="345" t="s">
        <v>913</v>
      </c>
      <c r="F827"/>
      <c r="G827"/>
      <c r="H827"/>
      <c r="J827" s="26"/>
      <c r="K827" s="26"/>
      <c r="L827" s="26"/>
      <c r="M827" s="26"/>
      <c r="O827" s="26"/>
      <c r="P827" s="26"/>
      <c r="Q827" s="26"/>
      <c r="R827" s="26"/>
    </row>
    <row r="828" spans="2:18" ht="16.5" x14ac:dyDescent="0.3">
      <c r="B828" s="343" t="s">
        <v>382</v>
      </c>
      <c r="C828" s="344" t="s">
        <v>912</v>
      </c>
      <c r="D828" s="345" t="s">
        <v>914</v>
      </c>
      <c r="F828"/>
      <c r="G828"/>
      <c r="H828"/>
      <c r="J828" s="26"/>
      <c r="K828" s="26"/>
      <c r="L828" s="26"/>
      <c r="M828" s="26"/>
      <c r="O828" s="26"/>
      <c r="P828" s="26"/>
      <c r="Q828" s="26"/>
      <c r="R828" s="26"/>
    </row>
    <row r="829" spans="2:18" ht="16.5" x14ac:dyDescent="0.3">
      <c r="B829" s="343" t="s">
        <v>382</v>
      </c>
      <c r="C829" s="344" t="s">
        <v>912</v>
      </c>
      <c r="D829" s="345" t="s">
        <v>915</v>
      </c>
      <c r="F829"/>
      <c r="G829"/>
      <c r="H829"/>
      <c r="J829" s="26"/>
      <c r="K829" s="26"/>
      <c r="L829" s="26"/>
      <c r="M829" s="26"/>
      <c r="O829" s="26"/>
      <c r="P829" s="26"/>
      <c r="Q829" s="26"/>
      <c r="R829" s="26"/>
    </row>
    <row r="830" spans="2:18" ht="16.5" x14ac:dyDescent="0.3">
      <c r="B830" s="343" t="s">
        <v>382</v>
      </c>
      <c r="C830" s="344" t="s">
        <v>912</v>
      </c>
      <c r="D830" s="345" t="s">
        <v>916</v>
      </c>
      <c r="F830"/>
      <c r="G830"/>
      <c r="H830"/>
      <c r="J830" s="26"/>
      <c r="K830" s="26"/>
      <c r="L830" s="26"/>
      <c r="M830" s="26"/>
      <c r="O830" s="26"/>
      <c r="P830" s="26"/>
      <c r="Q830" s="26"/>
      <c r="R830" s="26"/>
    </row>
    <row r="831" spans="2:18" ht="16.5" x14ac:dyDescent="0.3">
      <c r="B831" s="343" t="s">
        <v>382</v>
      </c>
      <c r="C831" s="344" t="s">
        <v>912</v>
      </c>
      <c r="D831" s="345" t="s">
        <v>917</v>
      </c>
      <c r="F831"/>
      <c r="G831"/>
      <c r="H831"/>
      <c r="J831" s="26"/>
      <c r="K831" s="26"/>
      <c r="L831" s="26"/>
      <c r="M831" s="26"/>
      <c r="O831" s="26"/>
      <c r="P831" s="26"/>
      <c r="Q831" s="26"/>
      <c r="R831" s="26"/>
    </row>
    <row r="832" spans="2:18" ht="16.5" x14ac:dyDescent="0.3">
      <c r="B832" s="343" t="s">
        <v>382</v>
      </c>
      <c r="C832" s="344" t="s">
        <v>912</v>
      </c>
      <c r="D832" s="345" t="s">
        <v>918</v>
      </c>
      <c r="F832"/>
      <c r="G832"/>
      <c r="H832"/>
      <c r="J832" s="26"/>
      <c r="K832" s="26"/>
      <c r="L832" s="26"/>
      <c r="M832" s="26"/>
      <c r="O832" s="26"/>
      <c r="P832" s="26"/>
      <c r="Q832" s="26"/>
      <c r="R832" s="26"/>
    </row>
    <row r="833" spans="2:18" ht="16.5" x14ac:dyDescent="0.3">
      <c r="B833" s="343" t="s">
        <v>382</v>
      </c>
      <c r="C833" s="344" t="s">
        <v>912</v>
      </c>
      <c r="D833" s="345" t="s">
        <v>919</v>
      </c>
      <c r="F833"/>
      <c r="G833"/>
      <c r="H833"/>
      <c r="J833" s="26"/>
      <c r="K833" s="26"/>
      <c r="L833" s="26"/>
      <c r="M833" s="26"/>
      <c r="O833" s="26"/>
      <c r="P833" s="26"/>
      <c r="Q833" s="26"/>
      <c r="R833" s="26"/>
    </row>
    <row r="834" spans="2:18" ht="16.5" x14ac:dyDescent="0.3">
      <c r="B834" s="343" t="s">
        <v>382</v>
      </c>
      <c r="C834" s="344" t="s">
        <v>912</v>
      </c>
      <c r="D834" s="345" t="s">
        <v>920</v>
      </c>
      <c r="F834"/>
      <c r="G834"/>
      <c r="H834"/>
      <c r="J834" s="26"/>
      <c r="K834" s="26"/>
      <c r="L834" s="26"/>
      <c r="M834" s="26"/>
      <c r="O834" s="26"/>
      <c r="P834" s="26"/>
      <c r="Q834" s="26"/>
      <c r="R834" s="26"/>
    </row>
    <row r="835" spans="2:18" ht="16.5" x14ac:dyDescent="0.3">
      <c r="B835" s="343" t="s">
        <v>382</v>
      </c>
      <c r="C835" s="344" t="s">
        <v>912</v>
      </c>
      <c r="D835" s="345" t="s">
        <v>921</v>
      </c>
      <c r="F835"/>
      <c r="G835"/>
      <c r="H835"/>
      <c r="J835" s="26"/>
      <c r="K835" s="26"/>
      <c r="L835" s="26"/>
      <c r="M835" s="26"/>
      <c r="O835" s="26"/>
      <c r="P835" s="26"/>
      <c r="Q835" s="26"/>
      <c r="R835" s="26"/>
    </row>
    <row r="836" spans="2:18" ht="16.5" x14ac:dyDescent="0.3">
      <c r="B836" s="343" t="s">
        <v>382</v>
      </c>
      <c r="C836" s="344" t="s">
        <v>912</v>
      </c>
      <c r="D836" s="345" t="s">
        <v>922</v>
      </c>
      <c r="F836"/>
      <c r="G836"/>
      <c r="H836"/>
      <c r="J836" s="26"/>
      <c r="K836" s="26"/>
      <c r="L836" s="26"/>
      <c r="M836" s="26"/>
      <c r="O836" s="26"/>
      <c r="P836" s="26"/>
      <c r="Q836" s="26"/>
      <c r="R836" s="26"/>
    </row>
    <row r="837" spans="2:18" ht="16.5" x14ac:dyDescent="0.3">
      <c r="B837" s="343" t="s">
        <v>382</v>
      </c>
      <c r="C837" s="344" t="s">
        <v>912</v>
      </c>
      <c r="D837" s="345" t="s">
        <v>923</v>
      </c>
      <c r="F837"/>
      <c r="G837"/>
      <c r="H837"/>
      <c r="J837" s="26"/>
      <c r="K837" s="26"/>
      <c r="L837" s="26"/>
      <c r="M837" s="26"/>
      <c r="O837" s="26"/>
      <c r="P837" s="26"/>
      <c r="Q837" s="26"/>
      <c r="R837" s="26"/>
    </row>
    <row r="838" spans="2:18" ht="16.5" x14ac:dyDescent="0.3">
      <c r="B838" s="343" t="s">
        <v>382</v>
      </c>
      <c r="C838" s="344" t="s">
        <v>912</v>
      </c>
      <c r="D838" s="345" t="s">
        <v>924</v>
      </c>
      <c r="F838"/>
      <c r="G838"/>
      <c r="H838"/>
      <c r="J838" s="26"/>
      <c r="K838" s="26"/>
      <c r="L838" s="26"/>
      <c r="M838" s="26"/>
      <c r="O838" s="26"/>
      <c r="P838" s="26"/>
      <c r="Q838" s="26"/>
      <c r="R838" s="26"/>
    </row>
    <row r="839" spans="2:18" ht="16.5" x14ac:dyDescent="0.3">
      <c r="B839" s="343" t="s">
        <v>382</v>
      </c>
      <c r="C839" s="344" t="s">
        <v>912</v>
      </c>
      <c r="D839" s="345" t="s">
        <v>925</v>
      </c>
      <c r="F839"/>
      <c r="G839"/>
      <c r="H839"/>
      <c r="J839" s="26"/>
      <c r="K839" s="26"/>
      <c r="L839" s="26"/>
      <c r="M839" s="26"/>
      <c r="O839" s="26"/>
      <c r="P839" s="26"/>
      <c r="Q839" s="26"/>
      <c r="R839" s="26"/>
    </row>
    <row r="840" spans="2:18" ht="16.5" x14ac:dyDescent="0.3">
      <c r="B840" s="343" t="s">
        <v>382</v>
      </c>
      <c r="C840" s="344" t="s">
        <v>912</v>
      </c>
      <c r="D840" s="345" t="s">
        <v>926</v>
      </c>
      <c r="F840"/>
      <c r="G840"/>
      <c r="H840"/>
      <c r="J840" s="26"/>
      <c r="K840" s="26"/>
      <c r="L840" s="26"/>
      <c r="M840" s="26"/>
      <c r="O840" s="26"/>
      <c r="P840" s="26"/>
      <c r="Q840" s="26"/>
      <c r="R840" s="26"/>
    </row>
    <row r="841" spans="2:18" ht="16.5" x14ac:dyDescent="0.3">
      <c r="B841" s="343" t="s">
        <v>382</v>
      </c>
      <c r="C841" s="344" t="s">
        <v>912</v>
      </c>
      <c r="D841" s="345" t="s">
        <v>927</v>
      </c>
      <c r="F841"/>
      <c r="G841"/>
      <c r="H841"/>
      <c r="J841" s="26"/>
      <c r="K841" s="26"/>
      <c r="L841" s="26"/>
      <c r="M841" s="26"/>
      <c r="O841" s="26"/>
      <c r="P841" s="26"/>
      <c r="Q841" s="26"/>
      <c r="R841" s="26"/>
    </row>
    <row r="842" spans="2:18" ht="16.5" x14ac:dyDescent="0.3">
      <c r="B842" s="343" t="s">
        <v>382</v>
      </c>
      <c r="C842" s="344" t="s">
        <v>912</v>
      </c>
      <c r="D842" s="345" t="s">
        <v>928</v>
      </c>
      <c r="F842"/>
      <c r="G842"/>
      <c r="H842"/>
      <c r="J842" s="26"/>
      <c r="K842" s="26"/>
      <c r="L842" s="26"/>
      <c r="M842" s="26"/>
      <c r="O842" s="26"/>
      <c r="P842" s="26"/>
      <c r="Q842" s="26"/>
      <c r="R842" s="26"/>
    </row>
    <row r="843" spans="2:18" ht="16.5" x14ac:dyDescent="0.3">
      <c r="B843" s="343" t="s">
        <v>382</v>
      </c>
      <c r="C843" s="344" t="s">
        <v>912</v>
      </c>
      <c r="D843" s="345" t="s">
        <v>929</v>
      </c>
      <c r="F843"/>
      <c r="G843"/>
      <c r="H843"/>
      <c r="J843" s="26"/>
      <c r="K843" s="26"/>
      <c r="L843" s="26"/>
      <c r="M843" s="26"/>
      <c r="O843" s="26"/>
      <c r="P843" s="26"/>
      <c r="Q843" s="26"/>
      <c r="R843" s="26"/>
    </row>
    <row r="844" spans="2:18" ht="16.5" x14ac:dyDescent="0.3">
      <c r="B844" s="343" t="s">
        <v>382</v>
      </c>
      <c r="C844" s="344" t="s">
        <v>912</v>
      </c>
      <c r="D844" s="345" t="s">
        <v>930</v>
      </c>
      <c r="F844"/>
      <c r="G844"/>
      <c r="H844"/>
      <c r="J844" s="26"/>
      <c r="K844" s="26"/>
      <c r="L844" s="26"/>
      <c r="M844" s="26"/>
      <c r="O844" s="26"/>
      <c r="P844" s="26"/>
      <c r="Q844" s="26"/>
      <c r="R844" s="26"/>
    </row>
    <row r="845" spans="2:18" ht="16.5" x14ac:dyDescent="0.3">
      <c r="B845" s="343" t="s">
        <v>382</v>
      </c>
      <c r="C845" s="344" t="s">
        <v>912</v>
      </c>
      <c r="D845" s="345" t="s">
        <v>931</v>
      </c>
      <c r="F845"/>
      <c r="G845"/>
      <c r="H845"/>
      <c r="J845" s="26"/>
      <c r="K845" s="26"/>
      <c r="L845" s="26"/>
      <c r="M845" s="26"/>
      <c r="O845" s="26"/>
      <c r="P845" s="26"/>
      <c r="Q845" s="26"/>
      <c r="R845" s="26"/>
    </row>
    <row r="846" spans="2:18" ht="16.5" x14ac:dyDescent="0.3">
      <c r="B846" s="343" t="s">
        <v>382</v>
      </c>
      <c r="C846" s="344" t="s">
        <v>912</v>
      </c>
      <c r="D846" s="345" t="s">
        <v>932</v>
      </c>
      <c r="F846"/>
      <c r="G846"/>
      <c r="H846"/>
      <c r="J846" s="26"/>
      <c r="K846" s="26"/>
      <c r="L846" s="26"/>
      <c r="M846" s="26"/>
      <c r="O846" s="26"/>
      <c r="P846" s="26"/>
      <c r="Q846" s="26"/>
      <c r="R846" s="26"/>
    </row>
    <row r="847" spans="2:18" ht="16.5" x14ac:dyDescent="0.3">
      <c r="B847" s="343" t="s">
        <v>382</v>
      </c>
      <c r="C847" s="344" t="s">
        <v>912</v>
      </c>
      <c r="D847" s="345" t="s">
        <v>933</v>
      </c>
      <c r="F847"/>
      <c r="G847"/>
      <c r="H847"/>
      <c r="J847" s="26"/>
      <c r="K847" s="26"/>
      <c r="L847" s="26"/>
      <c r="M847" s="26"/>
      <c r="O847" s="26"/>
      <c r="P847" s="26"/>
      <c r="Q847" s="26"/>
      <c r="R847" s="26"/>
    </row>
    <row r="848" spans="2:18" ht="16.5" x14ac:dyDescent="0.3">
      <c r="B848" s="343" t="s">
        <v>382</v>
      </c>
      <c r="C848" s="344" t="s">
        <v>912</v>
      </c>
      <c r="D848" s="345" t="s">
        <v>934</v>
      </c>
      <c r="F848"/>
      <c r="G848"/>
      <c r="H848"/>
      <c r="J848" s="26"/>
      <c r="K848" s="26"/>
      <c r="L848" s="26"/>
      <c r="M848" s="26"/>
      <c r="O848" s="26"/>
      <c r="P848" s="26"/>
      <c r="Q848" s="26"/>
      <c r="R848" s="26"/>
    </row>
    <row r="849" spans="2:18" ht="16.5" x14ac:dyDescent="0.3">
      <c r="B849" s="343" t="s">
        <v>382</v>
      </c>
      <c r="C849" s="344" t="s">
        <v>912</v>
      </c>
      <c r="D849" s="345" t="s">
        <v>935</v>
      </c>
      <c r="F849"/>
      <c r="G849"/>
      <c r="H849"/>
      <c r="J849" s="26"/>
      <c r="K849" s="26"/>
      <c r="L849" s="26"/>
      <c r="M849" s="26"/>
      <c r="O849" s="26"/>
      <c r="P849" s="26"/>
      <c r="Q849" s="26"/>
      <c r="R849" s="26"/>
    </row>
    <row r="850" spans="2:18" ht="16.5" x14ac:dyDescent="0.3">
      <c r="B850" s="343" t="s">
        <v>382</v>
      </c>
      <c r="C850" s="344" t="s">
        <v>1221</v>
      </c>
      <c r="D850" s="345" t="s">
        <v>1222</v>
      </c>
      <c r="F850"/>
      <c r="G850"/>
      <c r="H850"/>
      <c r="J850" s="26"/>
      <c r="K850" s="26"/>
      <c r="L850" s="26"/>
      <c r="M850" s="26"/>
      <c r="O850" s="26"/>
      <c r="P850" s="26"/>
      <c r="Q850" s="26"/>
      <c r="R850" s="26"/>
    </row>
    <row r="851" spans="2:18" ht="16.5" x14ac:dyDescent="0.3">
      <c r="B851" s="343" t="s">
        <v>382</v>
      </c>
      <c r="C851" s="344" t="s">
        <v>1221</v>
      </c>
      <c r="D851" s="345" t="s">
        <v>1223</v>
      </c>
      <c r="F851"/>
      <c r="G851"/>
      <c r="H851"/>
      <c r="J851" s="26"/>
      <c r="K851" s="26"/>
      <c r="L851" s="26"/>
      <c r="M851" s="26"/>
      <c r="O851" s="26"/>
      <c r="P851" s="26"/>
      <c r="Q851" s="26"/>
      <c r="R851" s="26"/>
    </row>
    <row r="852" spans="2:18" ht="16.5" x14ac:dyDescent="0.3">
      <c r="B852" s="343" t="s">
        <v>382</v>
      </c>
      <c r="C852" s="344" t="s">
        <v>1221</v>
      </c>
      <c r="D852" s="345" t="s">
        <v>1224</v>
      </c>
      <c r="F852"/>
      <c r="G852"/>
      <c r="H852"/>
      <c r="J852" s="26"/>
      <c r="K852" s="26"/>
      <c r="L852" s="26"/>
      <c r="M852" s="26"/>
      <c r="O852" s="26"/>
      <c r="P852" s="26"/>
      <c r="Q852" s="26"/>
      <c r="R852" s="26"/>
    </row>
    <row r="853" spans="2:18" ht="16.5" x14ac:dyDescent="0.3">
      <c r="B853" s="343" t="s">
        <v>382</v>
      </c>
      <c r="C853" s="344" t="s">
        <v>1221</v>
      </c>
      <c r="D853" s="345" t="s">
        <v>1225</v>
      </c>
      <c r="F853"/>
      <c r="G853"/>
      <c r="H853"/>
      <c r="J853" s="26"/>
      <c r="K853" s="26"/>
      <c r="L853" s="26"/>
      <c r="M853" s="26"/>
      <c r="O853" s="26"/>
      <c r="P853" s="26"/>
      <c r="Q853" s="26"/>
      <c r="R853" s="26"/>
    </row>
    <row r="854" spans="2:18" ht="16.5" x14ac:dyDescent="0.3">
      <c r="B854" s="343" t="s">
        <v>382</v>
      </c>
      <c r="C854" s="344" t="s">
        <v>1221</v>
      </c>
      <c r="D854" s="345" t="s">
        <v>1226</v>
      </c>
      <c r="F854"/>
      <c r="G854"/>
      <c r="H854"/>
      <c r="J854" s="26"/>
      <c r="K854" s="26"/>
      <c r="L854" s="26"/>
      <c r="M854" s="26"/>
      <c r="O854" s="26"/>
      <c r="P854" s="26"/>
      <c r="Q854" s="26"/>
      <c r="R854" s="26"/>
    </row>
    <row r="855" spans="2:18" ht="16.5" x14ac:dyDescent="0.3">
      <c r="B855" s="343" t="s">
        <v>382</v>
      </c>
      <c r="C855" s="344" t="s">
        <v>1221</v>
      </c>
      <c r="D855" s="345" t="s">
        <v>1227</v>
      </c>
      <c r="F855"/>
      <c r="G855"/>
      <c r="H855"/>
      <c r="J855" s="26"/>
      <c r="K855" s="26"/>
      <c r="L855" s="26"/>
      <c r="M855" s="26"/>
      <c r="O855" s="26"/>
      <c r="P855" s="26"/>
      <c r="Q855" s="26"/>
      <c r="R855" s="26"/>
    </row>
    <row r="856" spans="2:18" ht="16.5" x14ac:dyDescent="0.3">
      <c r="B856" s="343" t="s">
        <v>382</v>
      </c>
      <c r="C856" s="344" t="s">
        <v>1221</v>
      </c>
      <c r="D856" s="345" t="s">
        <v>1228</v>
      </c>
      <c r="F856"/>
      <c r="G856"/>
      <c r="H856"/>
      <c r="J856" s="26"/>
      <c r="K856" s="26"/>
      <c r="L856" s="26"/>
      <c r="M856" s="26"/>
      <c r="O856" s="26"/>
      <c r="P856" s="26"/>
      <c r="Q856" s="26"/>
      <c r="R856" s="26"/>
    </row>
    <row r="857" spans="2:18" ht="16.5" x14ac:dyDescent="0.3">
      <c r="B857" s="343" t="s">
        <v>382</v>
      </c>
      <c r="C857" s="344" t="s">
        <v>1221</v>
      </c>
      <c r="D857" s="345" t="s">
        <v>1229</v>
      </c>
      <c r="F857"/>
      <c r="G857"/>
      <c r="H857"/>
      <c r="J857" s="26"/>
      <c r="K857" s="26"/>
      <c r="L857" s="26"/>
      <c r="M857" s="26"/>
      <c r="O857" s="26"/>
      <c r="P857" s="26"/>
      <c r="Q857" s="26"/>
      <c r="R857" s="26"/>
    </row>
    <row r="858" spans="2:18" ht="16.5" x14ac:dyDescent="0.3">
      <c r="B858" s="343" t="s">
        <v>382</v>
      </c>
      <c r="C858" s="344" t="s">
        <v>1221</v>
      </c>
      <c r="D858" s="345" t="s">
        <v>1230</v>
      </c>
      <c r="F858"/>
      <c r="G858"/>
      <c r="H858"/>
      <c r="J858" s="26"/>
      <c r="K858" s="26"/>
      <c r="L858" s="26"/>
      <c r="M858" s="26"/>
      <c r="O858" s="26"/>
      <c r="P858" s="26"/>
      <c r="Q858" s="26"/>
      <c r="R858" s="26"/>
    </row>
    <row r="859" spans="2:18" ht="16.5" x14ac:dyDescent="0.3">
      <c r="B859" s="343" t="s">
        <v>382</v>
      </c>
      <c r="C859" s="344" t="s">
        <v>1221</v>
      </c>
      <c r="D859" s="345" t="s">
        <v>1231</v>
      </c>
      <c r="F859"/>
      <c r="G859"/>
      <c r="H859"/>
      <c r="J859" s="26"/>
      <c r="K859" s="26"/>
      <c r="L859" s="26"/>
      <c r="M859" s="26"/>
      <c r="O859" s="26"/>
      <c r="P859" s="26"/>
      <c r="Q859" s="26"/>
      <c r="R859" s="26"/>
    </row>
    <row r="860" spans="2:18" ht="16.5" x14ac:dyDescent="0.3">
      <c r="B860" s="343" t="s">
        <v>382</v>
      </c>
      <c r="C860" s="344" t="s">
        <v>1221</v>
      </c>
      <c r="D860" s="345" t="s">
        <v>1232</v>
      </c>
      <c r="F860"/>
      <c r="G860"/>
      <c r="H860"/>
      <c r="J860" s="26"/>
      <c r="K860" s="26"/>
      <c r="L860" s="26"/>
      <c r="M860" s="26"/>
      <c r="O860" s="26"/>
      <c r="P860" s="26"/>
      <c r="Q860" s="26"/>
      <c r="R860" s="26"/>
    </row>
    <row r="861" spans="2:18" ht="16.5" x14ac:dyDescent="0.3">
      <c r="B861" s="343" t="s">
        <v>382</v>
      </c>
      <c r="C861" s="344" t="s">
        <v>1221</v>
      </c>
      <c r="D861" s="345" t="s">
        <v>1233</v>
      </c>
      <c r="F861"/>
      <c r="G861"/>
      <c r="H861"/>
      <c r="J861" s="26"/>
      <c r="K861" s="26"/>
      <c r="L861" s="26"/>
      <c r="M861" s="26"/>
      <c r="O861" s="26"/>
      <c r="P861" s="26"/>
      <c r="Q861" s="26"/>
      <c r="R861" s="26"/>
    </row>
    <row r="862" spans="2:18" ht="16.5" x14ac:dyDescent="0.3">
      <c r="B862" s="343" t="s">
        <v>382</v>
      </c>
      <c r="C862" s="344" t="s">
        <v>1221</v>
      </c>
      <c r="D862" s="345" t="s">
        <v>1234</v>
      </c>
      <c r="F862"/>
      <c r="G862"/>
      <c r="H862"/>
      <c r="J862" s="26"/>
      <c r="K862" s="26"/>
      <c r="L862" s="26"/>
      <c r="M862" s="26"/>
      <c r="O862" s="26"/>
      <c r="P862" s="26"/>
      <c r="Q862" s="26"/>
      <c r="R862" s="26"/>
    </row>
    <row r="863" spans="2:18" ht="16.5" x14ac:dyDescent="0.3">
      <c r="B863" s="343" t="s">
        <v>382</v>
      </c>
      <c r="C863" s="344" t="s">
        <v>1221</v>
      </c>
      <c r="D863" s="345" t="s">
        <v>1235</v>
      </c>
      <c r="F863"/>
      <c r="G863"/>
      <c r="H863"/>
      <c r="J863" s="26"/>
      <c r="K863" s="26"/>
      <c r="L863" s="26"/>
      <c r="M863" s="26"/>
      <c r="O863" s="26"/>
      <c r="P863" s="26"/>
      <c r="Q863" s="26"/>
      <c r="R863" s="26"/>
    </row>
    <row r="864" spans="2:18" ht="16.5" x14ac:dyDescent="0.3">
      <c r="B864" s="343" t="s">
        <v>382</v>
      </c>
      <c r="C864" s="344" t="s">
        <v>1221</v>
      </c>
      <c r="D864" s="345" t="s">
        <v>1236</v>
      </c>
      <c r="F864"/>
      <c r="G864"/>
      <c r="H864"/>
      <c r="J864" s="26"/>
      <c r="K864" s="26"/>
      <c r="L864" s="26"/>
      <c r="M864" s="26"/>
      <c r="O864" s="26"/>
      <c r="P864" s="26"/>
      <c r="Q864" s="26"/>
      <c r="R864" s="26"/>
    </row>
    <row r="865" spans="2:18" ht="16.5" x14ac:dyDescent="0.3">
      <c r="B865" s="343" t="s">
        <v>382</v>
      </c>
      <c r="C865" s="344" t="s">
        <v>1221</v>
      </c>
      <c r="D865" s="345" t="s">
        <v>1237</v>
      </c>
      <c r="F865"/>
      <c r="G865"/>
      <c r="H865"/>
      <c r="J865" s="26"/>
      <c r="K865" s="26"/>
      <c r="L865" s="26"/>
      <c r="M865" s="26"/>
      <c r="O865" s="26"/>
      <c r="P865" s="26"/>
      <c r="Q865" s="26"/>
      <c r="R865" s="26"/>
    </row>
    <row r="866" spans="2:18" ht="16.5" x14ac:dyDescent="0.3">
      <c r="B866" s="343" t="s">
        <v>382</v>
      </c>
      <c r="C866" s="344" t="s">
        <v>1221</v>
      </c>
      <c r="D866" s="345" t="s">
        <v>1238</v>
      </c>
      <c r="F866"/>
      <c r="G866"/>
      <c r="H866"/>
      <c r="J866" s="26"/>
      <c r="K866" s="26"/>
      <c r="L866" s="26"/>
      <c r="M866" s="26"/>
      <c r="O866" s="26"/>
      <c r="P866" s="26"/>
      <c r="Q866" s="26"/>
      <c r="R866" s="26"/>
    </row>
    <row r="867" spans="2:18" ht="16.5" x14ac:dyDescent="0.3">
      <c r="B867" s="343" t="s">
        <v>382</v>
      </c>
      <c r="C867" s="344" t="s">
        <v>1221</v>
      </c>
      <c r="D867" s="345" t="s">
        <v>1239</v>
      </c>
      <c r="F867"/>
      <c r="G867"/>
      <c r="H867"/>
      <c r="J867" s="26"/>
      <c r="K867" s="26"/>
      <c r="L867" s="26"/>
      <c r="M867" s="26"/>
      <c r="O867" s="26"/>
      <c r="P867" s="26"/>
      <c r="Q867" s="26"/>
      <c r="R867" s="26"/>
    </row>
    <row r="868" spans="2:18" ht="16.5" x14ac:dyDescent="0.3">
      <c r="B868" s="343" t="s">
        <v>382</v>
      </c>
      <c r="C868" s="344" t="s">
        <v>936</v>
      </c>
      <c r="D868" s="345" t="s">
        <v>386</v>
      </c>
      <c r="F868"/>
      <c r="G868"/>
      <c r="H868"/>
      <c r="J868" s="26"/>
      <c r="K868" s="26"/>
      <c r="L868" s="26"/>
      <c r="M868" s="26"/>
      <c r="O868" s="26"/>
      <c r="P868" s="26"/>
      <c r="Q868" s="26"/>
      <c r="R868" s="26"/>
    </row>
    <row r="869" spans="2:18" ht="16.5" x14ac:dyDescent="0.3">
      <c r="B869" s="343" t="s">
        <v>382</v>
      </c>
      <c r="C869" s="344" t="s">
        <v>936</v>
      </c>
      <c r="D869" s="345" t="s">
        <v>387</v>
      </c>
      <c r="F869"/>
      <c r="G869"/>
      <c r="H869"/>
      <c r="J869" s="26"/>
      <c r="K869" s="26"/>
      <c r="L869" s="26"/>
      <c r="M869" s="26"/>
      <c r="O869" s="26"/>
      <c r="P869" s="26"/>
      <c r="Q869" s="26"/>
      <c r="R869" s="26"/>
    </row>
    <row r="870" spans="2:18" ht="16.5" x14ac:dyDescent="0.3">
      <c r="B870" s="343" t="s">
        <v>382</v>
      </c>
      <c r="C870" s="344" t="s">
        <v>936</v>
      </c>
      <c r="D870" s="345" t="s">
        <v>388</v>
      </c>
      <c r="F870"/>
      <c r="G870"/>
      <c r="H870"/>
      <c r="J870" s="26"/>
      <c r="K870" s="26"/>
      <c r="L870" s="26"/>
      <c r="M870" s="26"/>
      <c r="O870" s="26"/>
      <c r="P870" s="26"/>
      <c r="Q870" s="26"/>
      <c r="R870" s="26"/>
    </row>
    <row r="871" spans="2:18" ht="16.5" x14ac:dyDescent="0.3">
      <c r="B871" s="343" t="s">
        <v>382</v>
      </c>
      <c r="C871" s="344" t="s">
        <v>936</v>
      </c>
      <c r="D871" s="345" t="s">
        <v>389</v>
      </c>
      <c r="F871"/>
      <c r="G871"/>
      <c r="H871"/>
      <c r="J871" s="26"/>
      <c r="K871" s="26"/>
      <c r="L871" s="26"/>
      <c r="M871" s="26"/>
      <c r="O871" s="26"/>
      <c r="P871" s="26"/>
      <c r="Q871" s="26"/>
      <c r="R871" s="26"/>
    </row>
    <row r="872" spans="2:18" ht="16.5" x14ac:dyDescent="0.3">
      <c r="B872" s="343" t="s">
        <v>382</v>
      </c>
      <c r="C872" s="344" t="s">
        <v>936</v>
      </c>
      <c r="D872" s="345" t="s">
        <v>937</v>
      </c>
      <c r="F872"/>
      <c r="G872"/>
      <c r="H872"/>
      <c r="J872" s="26"/>
      <c r="K872" s="26"/>
      <c r="L872" s="26"/>
      <c r="M872" s="26"/>
      <c r="O872" s="26"/>
      <c r="P872" s="26"/>
      <c r="Q872" s="26"/>
      <c r="R872" s="26"/>
    </row>
    <row r="873" spans="2:18" ht="16.5" x14ac:dyDescent="0.3">
      <c r="B873" s="343" t="s">
        <v>382</v>
      </c>
      <c r="C873" s="344" t="s">
        <v>936</v>
      </c>
      <c r="D873" s="345" t="s">
        <v>938</v>
      </c>
      <c r="F873"/>
      <c r="G873"/>
      <c r="H873"/>
      <c r="J873" s="26"/>
      <c r="K873" s="26"/>
      <c r="L873" s="26"/>
      <c r="M873" s="26"/>
      <c r="O873" s="26"/>
      <c r="P873" s="26"/>
      <c r="Q873" s="26"/>
      <c r="R873" s="26"/>
    </row>
    <row r="874" spans="2:18" ht="16.5" x14ac:dyDescent="0.3">
      <c r="B874" s="343" t="s">
        <v>382</v>
      </c>
      <c r="C874" s="344" t="s">
        <v>936</v>
      </c>
      <c r="D874" s="345" t="s">
        <v>939</v>
      </c>
      <c r="F874"/>
      <c r="G874"/>
      <c r="H874"/>
      <c r="J874" s="26"/>
      <c r="K874" s="26"/>
      <c r="L874" s="26"/>
      <c r="M874" s="26"/>
      <c r="O874" s="26"/>
      <c r="P874" s="26"/>
      <c r="Q874" s="26"/>
      <c r="R874" s="26"/>
    </row>
    <row r="875" spans="2:18" ht="16.5" x14ac:dyDescent="0.3">
      <c r="B875" s="343" t="s">
        <v>382</v>
      </c>
      <c r="C875" s="344" t="s">
        <v>936</v>
      </c>
      <c r="D875" s="345" t="s">
        <v>940</v>
      </c>
      <c r="F875"/>
      <c r="G875"/>
      <c r="H875"/>
      <c r="J875" s="26"/>
      <c r="K875" s="26"/>
      <c r="L875" s="26"/>
      <c r="M875" s="26"/>
      <c r="O875" s="26"/>
      <c r="P875" s="26"/>
      <c r="Q875" s="26"/>
      <c r="R875" s="26"/>
    </row>
    <row r="876" spans="2:18" ht="16.5" x14ac:dyDescent="0.3">
      <c r="B876" s="343" t="s">
        <v>382</v>
      </c>
      <c r="C876" s="344" t="s">
        <v>936</v>
      </c>
      <c r="D876" s="345" t="s">
        <v>941</v>
      </c>
      <c r="F876"/>
      <c r="G876"/>
      <c r="H876"/>
      <c r="J876" s="26"/>
      <c r="K876" s="26"/>
      <c r="L876" s="26"/>
      <c r="M876" s="26"/>
      <c r="O876" s="26"/>
      <c r="P876" s="26"/>
      <c r="Q876" s="26"/>
      <c r="R876" s="26"/>
    </row>
    <row r="877" spans="2:18" ht="16.5" x14ac:dyDescent="0.3">
      <c r="B877" s="343" t="s">
        <v>382</v>
      </c>
      <c r="C877" s="344" t="s">
        <v>936</v>
      </c>
      <c r="D877" s="345" t="s">
        <v>942</v>
      </c>
      <c r="F877"/>
      <c r="G877"/>
      <c r="H877"/>
      <c r="J877" s="26"/>
      <c r="K877" s="26"/>
      <c r="L877" s="26"/>
      <c r="M877" s="26"/>
      <c r="O877" s="26"/>
      <c r="P877" s="26"/>
      <c r="Q877" s="26"/>
      <c r="R877" s="26"/>
    </row>
    <row r="878" spans="2:18" ht="16.5" x14ac:dyDescent="0.3">
      <c r="B878" s="343" t="s">
        <v>382</v>
      </c>
      <c r="C878" s="344" t="s">
        <v>936</v>
      </c>
      <c r="D878" s="345" t="s">
        <v>943</v>
      </c>
      <c r="F878"/>
      <c r="G878"/>
      <c r="H878"/>
      <c r="J878" s="26"/>
      <c r="K878" s="26"/>
      <c r="L878" s="26"/>
      <c r="M878" s="26"/>
      <c r="O878" s="26"/>
      <c r="P878" s="26"/>
      <c r="Q878" s="26"/>
      <c r="R878" s="26"/>
    </row>
    <row r="879" spans="2:18" ht="16.5" x14ac:dyDescent="0.3">
      <c r="B879" s="343" t="s">
        <v>382</v>
      </c>
      <c r="C879" s="344" t="s">
        <v>936</v>
      </c>
      <c r="D879" s="345" t="s">
        <v>944</v>
      </c>
      <c r="F879"/>
      <c r="G879"/>
      <c r="H879"/>
      <c r="J879" s="26"/>
      <c r="K879" s="26"/>
      <c r="L879" s="26"/>
      <c r="M879" s="26"/>
      <c r="O879" s="26"/>
      <c r="P879" s="26"/>
      <c r="Q879" s="26"/>
      <c r="R879" s="26"/>
    </row>
    <row r="880" spans="2:18" ht="16.5" x14ac:dyDescent="0.3">
      <c r="B880" s="343" t="s">
        <v>382</v>
      </c>
      <c r="C880" s="344" t="s">
        <v>936</v>
      </c>
      <c r="D880" s="345" t="s">
        <v>945</v>
      </c>
      <c r="F880"/>
      <c r="G880"/>
      <c r="H880"/>
      <c r="J880" s="26"/>
      <c r="K880" s="26"/>
      <c r="L880" s="26"/>
      <c r="M880" s="26"/>
      <c r="O880" s="26"/>
      <c r="P880" s="26"/>
      <c r="Q880" s="26"/>
      <c r="R880" s="26"/>
    </row>
    <row r="881" spans="2:18" ht="16.5" x14ac:dyDescent="0.3">
      <c r="B881" s="343" t="s">
        <v>382</v>
      </c>
      <c r="C881" s="344" t="s">
        <v>936</v>
      </c>
      <c r="D881" s="345" t="s">
        <v>946</v>
      </c>
      <c r="F881"/>
      <c r="G881"/>
      <c r="H881"/>
      <c r="J881" s="26"/>
      <c r="K881" s="26"/>
      <c r="L881" s="26"/>
      <c r="M881" s="26"/>
      <c r="O881" s="26"/>
      <c r="P881" s="26"/>
      <c r="Q881" s="26"/>
      <c r="R881" s="26"/>
    </row>
    <row r="882" spans="2:18" ht="16.5" x14ac:dyDescent="0.3">
      <c r="B882" s="343" t="s">
        <v>382</v>
      </c>
      <c r="C882" s="344" t="s">
        <v>936</v>
      </c>
      <c r="D882" s="345" t="s">
        <v>947</v>
      </c>
      <c r="F882"/>
      <c r="G882"/>
      <c r="H882"/>
      <c r="J882" s="26"/>
      <c r="K882" s="26"/>
      <c r="L882" s="26"/>
      <c r="M882" s="26"/>
      <c r="O882" s="26"/>
      <c r="P882" s="26"/>
      <c r="Q882" s="26"/>
      <c r="R882" s="26"/>
    </row>
    <row r="883" spans="2:18" ht="16.5" x14ac:dyDescent="0.3">
      <c r="B883" s="343" t="s">
        <v>382</v>
      </c>
      <c r="C883" s="344" t="s">
        <v>936</v>
      </c>
      <c r="D883" s="345" t="s">
        <v>948</v>
      </c>
      <c r="F883"/>
      <c r="G883"/>
      <c r="H883"/>
      <c r="J883" s="26"/>
      <c r="K883" s="26"/>
      <c r="L883" s="26"/>
      <c r="M883" s="26"/>
      <c r="O883" s="26"/>
      <c r="P883" s="26"/>
      <c r="Q883" s="26"/>
      <c r="R883" s="26"/>
    </row>
    <row r="884" spans="2:18" ht="16.5" x14ac:dyDescent="0.3">
      <c r="B884" s="343" t="s">
        <v>382</v>
      </c>
      <c r="C884" s="344" t="s">
        <v>936</v>
      </c>
      <c r="D884" s="345" t="s">
        <v>949</v>
      </c>
      <c r="F884"/>
      <c r="G884"/>
      <c r="H884"/>
      <c r="J884" s="26"/>
      <c r="K884" s="26"/>
      <c r="L884" s="26"/>
      <c r="M884" s="26"/>
      <c r="O884" s="26"/>
      <c r="P884" s="26"/>
      <c r="Q884" s="26"/>
      <c r="R884" s="26"/>
    </row>
    <row r="885" spans="2:18" ht="16.5" x14ac:dyDescent="0.3">
      <c r="B885" s="343" t="s">
        <v>382</v>
      </c>
      <c r="C885" s="344" t="s">
        <v>936</v>
      </c>
      <c r="D885" s="345" t="s">
        <v>950</v>
      </c>
      <c r="F885"/>
      <c r="G885"/>
      <c r="H885"/>
      <c r="J885" s="26"/>
      <c r="K885" s="26"/>
      <c r="L885" s="26"/>
      <c r="M885" s="26"/>
      <c r="O885" s="26"/>
      <c r="P885" s="26"/>
      <c r="Q885" s="26"/>
      <c r="R885" s="26"/>
    </row>
    <row r="886" spans="2:18" ht="16.5" x14ac:dyDescent="0.3">
      <c r="B886" s="343" t="s">
        <v>382</v>
      </c>
      <c r="C886" s="344" t="s">
        <v>936</v>
      </c>
      <c r="D886" s="345" t="s">
        <v>951</v>
      </c>
      <c r="F886"/>
      <c r="G886"/>
      <c r="H886"/>
      <c r="J886" s="26"/>
      <c r="K886" s="26"/>
      <c r="L886" s="26"/>
      <c r="M886" s="26"/>
      <c r="O886" s="26"/>
      <c r="P886" s="26"/>
      <c r="Q886" s="26"/>
      <c r="R886" s="26"/>
    </row>
    <row r="887" spans="2:18" ht="16.5" x14ac:dyDescent="0.3">
      <c r="B887" s="343" t="s">
        <v>382</v>
      </c>
      <c r="C887" s="344" t="s">
        <v>936</v>
      </c>
      <c r="D887" s="345" t="s">
        <v>952</v>
      </c>
      <c r="F887"/>
      <c r="G887"/>
      <c r="H887"/>
      <c r="J887" s="26"/>
      <c r="K887" s="26"/>
      <c r="L887" s="26"/>
      <c r="M887" s="26"/>
      <c r="O887" s="26"/>
      <c r="P887" s="26"/>
      <c r="Q887" s="26"/>
      <c r="R887" s="26"/>
    </row>
    <row r="888" spans="2:18" ht="16.5" x14ac:dyDescent="0.3">
      <c r="B888" s="343" t="s">
        <v>382</v>
      </c>
      <c r="C888" s="344" t="s">
        <v>936</v>
      </c>
      <c r="D888" s="345" t="s">
        <v>953</v>
      </c>
      <c r="F888"/>
      <c r="G888"/>
      <c r="H888"/>
      <c r="J888" s="26"/>
      <c r="K888" s="26"/>
      <c r="L888" s="26"/>
      <c r="M888" s="26"/>
      <c r="O888" s="26"/>
      <c r="P888" s="26"/>
      <c r="Q888" s="26"/>
      <c r="R888" s="26"/>
    </row>
    <row r="889" spans="2:18" ht="16.5" x14ac:dyDescent="0.3">
      <c r="B889" s="343" t="s">
        <v>382</v>
      </c>
      <c r="C889" s="344" t="s">
        <v>936</v>
      </c>
      <c r="D889" s="345" t="s">
        <v>954</v>
      </c>
      <c r="F889"/>
      <c r="G889"/>
      <c r="H889"/>
      <c r="J889" s="26"/>
      <c r="K889" s="26"/>
      <c r="L889" s="26"/>
      <c r="M889" s="26"/>
      <c r="O889" s="26"/>
      <c r="P889" s="26"/>
      <c r="Q889" s="26"/>
      <c r="R889" s="26"/>
    </row>
    <row r="890" spans="2:18" ht="16.5" x14ac:dyDescent="0.3">
      <c r="B890" s="343" t="s">
        <v>955</v>
      </c>
      <c r="C890" s="344" t="s">
        <v>956</v>
      </c>
      <c r="D890" s="345" t="s">
        <v>383</v>
      </c>
      <c r="F890"/>
      <c r="G890"/>
      <c r="H890"/>
      <c r="J890" s="26"/>
      <c r="K890" s="26"/>
      <c r="L890" s="26"/>
      <c r="M890" s="26"/>
      <c r="O890" s="26"/>
      <c r="P890" s="26"/>
      <c r="Q890" s="26"/>
      <c r="R890" s="26"/>
    </row>
    <row r="891" spans="2:18" ht="16.5" x14ac:dyDescent="0.3">
      <c r="B891" s="343" t="s">
        <v>955</v>
      </c>
      <c r="C891" s="344" t="s">
        <v>956</v>
      </c>
      <c r="D891" s="345" t="s">
        <v>957</v>
      </c>
      <c r="F891"/>
      <c r="G891"/>
      <c r="H891"/>
      <c r="J891" s="26"/>
      <c r="K891" s="26"/>
      <c r="L891" s="26"/>
      <c r="M891" s="26"/>
      <c r="O891" s="26"/>
      <c r="P891" s="26"/>
      <c r="Q891" s="26"/>
      <c r="R891" s="26"/>
    </row>
    <row r="892" spans="2:18" ht="16.5" x14ac:dyDescent="0.3">
      <c r="B892" s="343" t="s">
        <v>955</v>
      </c>
      <c r="C892" s="344" t="s">
        <v>956</v>
      </c>
      <c r="D892" s="345" t="s">
        <v>958</v>
      </c>
      <c r="F892"/>
      <c r="G892"/>
      <c r="H892"/>
      <c r="J892" s="26"/>
      <c r="K892" s="26"/>
      <c r="L892" s="26"/>
      <c r="M892" s="26"/>
      <c r="O892" s="26"/>
      <c r="P892" s="26"/>
      <c r="Q892" s="26"/>
      <c r="R892" s="26"/>
    </row>
    <row r="893" spans="2:18" ht="16.5" x14ac:dyDescent="0.3">
      <c r="B893" s="343" t="s">
        <v>955</v>
      </c>
      <c r="C893" s="344" t="s">
        <v>956</v>
      </c>
      <c r="D893" s="345" t="s">
        <v>960</v>
      </c>
      <c r="F893"/>
      <c r="G893"/>
      <c r="H893"/>
      <c r="J893" s="26"/>
      <c r="K893" s="26"/>
      <c r="L893" s="26"/>
      <c r="M893" s="26"/>
      <c r="O893" s="26"/>
      <c r="P893" s="26"/>
      <c r="Q893" s="26"/>
      <c r="R893" s="26"/>
    </row>
    <row r="894" spans="2:18" ht="16.5" x14ac:dyDescent="0.3">
      <c r="B894" s="343" t="s">
        <v>955</v>
      </c>
      <c r="C894" s="344" t="s">
        <v>956</v>
      </c>
      <c r="D894" s="345" t="s">
        <v>961</v>
      </c>
      <c r="F894"/>
      <c r="G894"/>
      <c r="H894"/>
      <c r="J894" s="26"/>
      <c r="K894" s="26"/>
      <c r="L894" s="26"/>
      <c r="M894" s="26"/>
      <c r="O894" s="26"/>
      <c r="P894" s="26"/>
      <c r="Q894" s="26"/>
      <c r="R894" s="26"/>
    </row>
    <row r="895" spans="2:18" ht="16.5" x14ac:dyDescent="0.3">
      <c r="B895" s="343" t="s">
        <v>955</v>
      </c>
      <c r="C895" s="344" t="s">
        <v>956</v>
      </c>
      <c r="D895" s="345" t="s">
        <v>962</v>
      </c>
      <c r="F895"/>
      <c r="G895"/>
      <c r="H895"/>
      <c r="J895" s="26"/>
      <c r="K895" s="26"/>
      <c r="L895" s="26"/>
      <c r="M895" s="26"/>
      <c r="O895" s="26"/>
      <c r="P895" s="26"/>
      <c r="Q895" s="26"/>
      <c r="R895" s="26"/>
    </row>
    <row r="896" spans="2:18" ht="16.5" x14ac:dyDescent="0.3">
      <c r="B896" s="343" t="s">
        <v>955</v>
      </c>
      <c r="C896" s="344" t="s">
        <v>956</v>
      </c>
      <c r="D896" s="345" t="s">
        <v>963</v>
      </c>
      <c r="F896"/>
      <c r="G896"/>
      <c r="H896"/>
      <c r="J896" s="26"/>
      <c r="K896" s="26"/>
      <c r="L896" s="26"/>
      <c r="M896" s="26"/>
      <c r="O896" s="26"/>
      <c r="P896" s="26"/>
      <c r="Q896" s="26"/>
      <c r="R896" s="26"/>
    </row>
    <row r="897" spans="2:18" ht="16.5" x14ac:dyDescent="0.3">
      <c r="B897" s="343" t="s">
        <v>955</v>
      </c>
      <c r="C897" s="344" t="s">
        <v>956</v>
      </c>
      <c r="D897" s="345" t="s">
        <v>964</v>
      </c>
      <c r="F897"/>
      <c r="G897"/>
      <c r="H897"/>
      <c r="J897" s="26"/>
      <c r="K897" s="26"/>
      <c r="L897" s="26"/>
      <c r="M897" s="26"/>
      <c r="O897" s="26"/>
      <c r="P897" s="26"/>
      <c r="Q897" s="26"/>
      <c r="R897" s="26"/>
    </row>
    <row r="898" spans="2:18" ht="16.5" x14ac:dyDescent="0.3">
      <c r="B898" s="343" t="s">
        <v>955</v>
      </c>
      <c r="C898" s="344" t="s">
        <v>959</v>
      </c>
      <c r="D898" s="345" t="s">
        <v>965</v>
      </c>
      <c r="F898"/>
      <c r="G898"/>
      <c r="H898"/>
      <c r="J898" s="26"/>
      <c r="K898" s="26"/>
      <c r="L898" s="26"/>
      <c r="M898" s="26"/>
      <c r="O898" s="26"/>
      <c r="P898" s="26"/>
      <c r="Q898" s="26"/>
      <c r="R898" s="26"/>
    </row>
    <row r="899" spans="2:18" ht="16.5" x14ac:dyDescent="0.3">
      <c r="B899" s="343" t="s">
        <v>955</v>
      </c>
      <c r="C899" s="344" t="s">
        <v>959</v>
      </c>
      <c r="D899" s="345" t="s">
        <v>966</v>
      </c>
      <c r="F899"/>
      <c r="G899"/>
      <c r="H899"/>
      <c r="J899" s="26"/>
      <c r="K899" s="26"/>
      <c r="L899" s="26"/>
      <c r="M899" s="26"/>
      <c r="O899" s="26"/>
      <c r="P899" s="26"/>
      <c r="Q899" s="26"/>
      <c r="R899" s="26"/>
    </row>
    <row r="900" spans="2:18" ht="16.5" x14ac:dyDescent="0.3">
      <c r="B900" s="343" t="s">
        <v>955</v>
      </c>
      <c r="C900" s="344" t="s">
        <v>959</v>
      </c>
      <c r="D900" s="345" t="s">
        <v>967</v>
      </c>
      <c r="F900"/>
      <c r="G900"/>
      <c r="H900"/>
      <c r="J900" s="26"/>
      <c r="K900" s="26"/>
      <c r="L900" s="26"/>
      <c r="M900" s="26"/>
      <c r="O900" s="26"/>
      <c r="P900" s="26"/>
      <c r="Q900" s="26"/>
      <c r="R900" s="26"/>
    </row>
    <row r="901" spans="2:18" ht="16.5" x14ac:dyDescent="0.3">
      <c r="B901" s="343" t="s">
        <v>955</v>
      </c>
      <c r="C901" s="344" t="s">
        <v>959</v>
      </c>
      <c r="D901" s="345" t="s">
        <v>968</v>
      </c>
      <c r="F901"/>
      <c r="G901"/>
      <c r="H901"/>
      <c r="J901" s="26"/>
      <c r="K901" s="26"/>
      <c r="L901" s="26"/>
      <c r="M901" s="26"/>
      <c r="O901" s="26"/>
      <c r="P901" s="26"/>
      <c r="Q901" s="26"/>
      <c r="R901" s="26"/>
    </row>
    <row r="902" spans="2:18" ht="16.5" x14ac:dyDescent="0.3">
      <c r="B902" s="343" t="s">
        <v>955</v>
      </c>
      <c r="C902" s="344" t="s">
        <v>959</v>
      </c>
      <c r="D902" s="345" t="s">
        <v>969</v>
      </c>
      <c r="F902"/>
      <c r="G902"/>
      <c r="H902"/>
      <c r="J902" s="26"/>
      <c r="K902" s="26"/>
      <c r="L902" s="26"/>
      <c r="M902" s="26"/>
      <c r="O902" s="26"/>
      <c r="P902" s="26"/>
      <c r="Q902" s="26"/>
      <c r="R902" s="26"/>
    </row>
    <row r="903" spans="2:18" ht="16.5" x14ac:dyDescent="0.3">
      <c r="B903" s="343" t="s">
        <v>955</v>
      </c>
      <c r="C903" s="344" t="s">
        <v>959</v>
      </c>
      <c r="D903" s="345" t="s">
        <v>970</v>
      </c>
      <c r="F903"/>
      <c r="G903"/>
      <c r="H903"/>
      <c r="J903" s="26"/>
      <c r="K903" s="26"/>
      <c r="L903" s="26"/>
      <c r="M903" s="26"/>
      <c r="O903" s="26"/>
      <c r="P903" s="26"/>
      <c r="Q903" s="26"/>
      <c r="R903" s="26"/>
    </row>
    <row r="904" spans="2:18" ht="16.5" x14ac:dyDescent="0.3">
      <c r="B904" s="343" t="s">
        <v>955</v>
      </c>
      <c r="C904" s="344" t="s">
        <v>959</v>
      </c>
      <c r="D904" s="345" t="s">
        <v>971</v>
      </c>
      <c r="F904"/>
      <c r="G904"/>
      <c r="H904"/>
      <c r="J904" s="26"/>
      <c r="K904" s="26"/>
      <c r="L904" s="26"/>
      <c r="M904" s="26"/>
      <c r="O904" s="26"/>
      <c r="P904" s="26"/>
      <c r="Q904" s="26"/>
      <c r="R904" s="26"/>
    </row>
    <row r="905" spans="2:18" ht="16.5" x14ac:dyDescent="0.3">
      <c r="B905" s="343" t="s">
        <v>955</v>
      </c>
      <c r="C905" s="344" t="s">
        <v>959</v>
      </c>
      <c r="D905" s="345" t="s">
        <v>972</v>
      </c>
      <c r="F905"/>
      <c r="G905"/>
      <c r="H905"/>
      <c r="J905" s="26"/>
      <c r="K905" s="26"/>
      <c r="L905" s="26"/>
      <c r="M905" s="26"/>
      <c r="O905" s="26"/>
      <c r="P905" s="26"/>
      <c r="Q905" s="26"/>
      <c r="R905" s="26"/>
    </row>
    <row r="906" spans="2:18" ht="16.5" x14ac:dyDescent="0.3">
      <c r="B906" s="343" t="s">
        <v>955</v>
      </c>
      <c r="C906" s="344" t="s">
        <v>959</v>
      </c>
      <c r="D906" s="345" t="s">
        <v>973</v>
      </c>
      <c r="F906"/>
      <c r="G906"/>
      <c r="H906"/>
      <c r="J906" s="26"/>
      <c r="K906" s="26"/>
      <c r="L906" s="26"/>
      <c r="M906" s="26"/>
      <c r="O906" s="26"/>
      <c r="P906" s="26"/>
      <c r="Q906" s="26"/>
      <c r="R906" s="26"/>
    </row>
    <row r="907" spans="2:18" ht="16.5" x14ac:dyDescent="0.3">
      <c r="B907" s="343" t="s">
        <v>955</v>
      </c>
      <c r="C907" s="344" t="s">
        <v>959</v>
      </c>
      <c r="D907" s="345" t="s">
        <v>974</v>
      </c>
      <c r="F907"/>
      <c r="G907"/>
      <c r="H907"/>
      <c r="J907" s="26"/>
      <c r="K907" s="26"/>
      <c r="L907" s="26"/>
      <c r="M907" s="26"/>
      <c r="O907" s="26"/>
      <c r="P907" s="26"/>
      <c r="Q907" s="26"/>
      <c r="R907" s="26"/>
    </row>
    <row r="908" spans="2:18" ht="16.5" x14ac:dyDescent="0.3">
      <c r="B908" s="343" t="s">
        <v>955</v>
      </c>
      <c r="C908" s="344" t="s">
        <v>959</v>
      </c>
      <c r="D908" s="345" t="s">
        <v>975</v>
      </c>
      <c r="F908"/>
      <c r="G908"/>
      <c r="H908"/>
      <c r="J908" s="26"/>
      <c r="K908" s="26"/>
      <c r="L908" s="26"/>
      <c r="M908" s="26"/>
      <c r="O908" s="26"/>
      <c r="P908" s="26"/>
      <c r="Q908" s="26"/>
      <c r="R908" s="26"/>
    </row>
    <row r="909" spans="2:18" ht="16.5" x14ac:dyDescent="0.3">
      <c r="B909" s="343" t="s">
        <v>955</v>
      </c>
      <c r="C909" s="344" t="s">
        <v>959</v>
      </c>
      <c r="D909" s="345" t="s">
        <v>976</v>
      </c>
      <c r="F909"/>
      <c r="G909"/>
      <c r="H909"/>
      <c r="J909" s="26"/>
      <c r="K909" s="26"/>
      <c r="L909" s="26"/>
      <c r="M909" s="26"/>
      <c r="O909" s="26"/>
      <c r="P909" s="26"/>
      <c r="Q909" s="26"/>
      <c r="R909" s="26"/>
    </row>
    <row r="910" spans="2:18" ht="16.5" x14ac:dyDescent="0.3">
      <c r="B910" s="343" t="s">
        <v>955</v>
      </c>
      <c r="C910" s="344" t="s">
        <v>959</v>
      </c>
      <c r="D910" s="345" t="s">
        <v>977</v>
      </c>
      <c r="F910"/>
      <c r="G910"/>
      <c r="H910"/>
      <c r="J910" s="26"/>
      <c r="K910" s="26"/>
      <c r="L910" s="26"/>
      <c r="M910" s="26"/>
      <c r="O910" s="26"/>
      <c r="P910" s="26"/>
      <c r="Q910" s="26"/>
      <c r="R910" s="26"/>
    </row>
    <row r="911" spans="2:18" ht="16.5" x14ac:dyDescent="0.3">
      <c r="B911" s="343" t="s">
        <v>955</v>
      </c>
      <c r="C911" s="344" t="s">
        <v>959</v>
      </c>
      <c r="D911" s="345" t="s">
        <v>978</v>
      </c>
      <c r="F911"/>
      <c r="G911"/>
      <c r="H911"/>
      <c r="J911" s="26"/>
      <c r="K911" s="26"/>
      <c r="L911" s="26"/>
      <c r="M911" s="26"/>
      <c r="O911" s="26"/>
      <c r="P911" s="26"/>
      <c r="Q911" s="26"/>
      <c r="R911" s="26"/>
    </row>
    <row r="912" spans="2:18" ht="16.5" x14ac:dyDescent="0.3">
      <c r="B912" s="343" t="s">
        <v>955</v>
      </c>
      <c r="C912" s="344" t="s">
        <v>956</v>
      </c>
      <c r="D912" s="345" t="s">
        <v>1201</v>
      </c>
      <c r="F912"/>
      <c r="G912"/>
      <c r="H912"/>
      <c r="J912" s="26"/>
      <c r="K912" s="26"/>
      <c r="L912" s="26"/>
      <c r="M912" s="26"/>
      <c r="O912" s="26"/>
      <c r="P912" s="26"/>
      <c r="Q912" s="26"/>
      <c r="R912" s="26"/>
    </row>
    <row r="913" spans="2:18" ht="16.5" x14ac:dyDescent="0.3">
      <c r="B913" s="343" t="s">
        <v>955</v>
      </c>
      <c r="C913" s="344" t="s">
        <v>956</v>
      </c>
      <c r="D913" s="345" t="s">
        <v>1202</v>
      </c>
      <c r="F913"/>
      <c r="G913"/>
      <c r="H913"/>
      <c r="J913" s="26"/>
      <c r="K913" s="26"/>
      <c r="L913" s="26"/>
      <c r="M913" s="26"/>
      <c r="O913" s="26"/>
      <c r="P913" s="26"/>
      <c r="Q913" s="26"/>
      <c r="R913" s="26"/>
    </row>
    <row r="914" spans="2:18" ht="16.5" x14ac:dyDescent="0.3">
      <c r="B914" s="343" t="s">
        <v>955</v>
      </c>
      <c r="C914" s="344" t="s">
        <v>956</v>
      </c>
      <c r="D914" s="345" t="s">
        <v>1203</v>
      </c>
      <c r="F914"/>
      <c r="G914"/>
      <c r="H914"/>
      <c r="J914" s="26"/>
      <c r="K914" s="26"/>
      <c r="L914" s="26"/>
      <c r="M914" s="26"/>
      <c r="O914" s="26"/>
      <c r="P914" s="26"/>
      <c r="Q914" s="26"/>
      <c r="R914" s="26"/>
    </row>
    <row r="915" spans="2:18" ht="16.5" x14ac:dyDescent="0.3">
      <c r="B915" s="343" t="s">
        <v>955</v>
      </c>
      <c r="C915" s="344" t="s">
        <v>956</v>
      </c>
      <c r="D915" s="345" t="s">
        <v>1204</v>
      </c>
      <c r="F915"/>
      <c r="G915"/>
      <c r="H915"/>
      <c r="J915" s="26"/>
      <c r="K915" s="26"/>
      <c r="L915" s="26"/>
      <c r="M915" s="26"/>
      <c r="O915" s="26"/>
      <c r="P915" s="26"/>
      <c r="Q915" s="26"/>
      <c r="R915" s="26"/>
    </row>
    <row r="916" spans="2:18" ht="16.5" x14ac:dyDescent="0.3">
      <c r="B916" s="343" t="s">
        <v>955</v>
      </c>
      <c r="C916" s="344" t="s">
        <v>956</v>
      </c>
      <c r="D916" s="345" t="s">
        <v>1205</v>
      </c>
      <c r="F916"/>
      <c r="G916"/>
      <c r="H916"/>
      <c r="J916" s="26"/>
      <c r="K916" s="26"/>
      <c r="L916" s="26"/>
      <c r="M916" s="26"/>
      <c r="O916" s="26"/>
      <c r="P916" s="26"/>
      <c r="Q916" s="26"/>
      <c r="R916" s="26"/>
    </row>
    <row r="917" spans="2:18" ht="16.5" x14ac:dyDescent="0.3">
      <c r="B917" s="343" t="s">
        <v>955</v>
      </c>
      <c r="C917" s="344" t="s">
        <v>956</v>
      </c>
      <c r="D917" s="345" t="s">
        <v>1206</v>
      </c>
      <c r="F917"/>
      <c r="G917"/>
      <c r="H917"/>
      <c r="J917" s="26"/>
      <c r="K917" s="26"/>
      <c r="L917" s="26"/>
      <c r="M917" s="26"/>
      <c r="O917" s="26"/>
      <c r="P917" s="26"/>
      <c r="Q917" s="26"/>
      <c r="R917" s="26"/>
    </row>
    <row r="918" spans="2:18" ht="16.5" x14ac:dyDescent="0.3">
      <c r="B918" s="343" t="s">
        <v>955</v>
      </c>
      <c r="C918" s="344" t="s">
        <v>956</v>
      </c>
      <c r="D918" s="345" t="s">
        <v>1207</v>
      </c>
      <c r="F918"/>
      <c r="G918"/>
      <c r="H918"/>
      <c r="J918" s="26"/>
      <c r="K918" s="26"/>
      <c r="L918" s="26"/>
      <c r="M918" s="26"/>
      <c r="O918" s="26"/>
      <c r="P918" s="26"/>
      <c r="Q918" s="26"/>
      <c r="R918" s="26"/>
    </row>
    <row r="919" spans="2:18" ht="16.5" x14ac:dyDescent="0.3">
      <c r="B919" s="343" t="s">
        <v>979</v>
      </c>
      <c r="C919" s="344" t="s">
        <v>1026</v>
      </c>
      <c r="D919" s="345" t="s">
        <v>1030</v>
      </c>
      <c r="F919"/>
      <c r="G919"/>
      <c r="H919"/>
      <c r="J919" s="26"/>
      <c r="K919" s="26"/>
      <c r="L919" s="26"/>
      <c r="M919" s="26"/>
      <c r="O919" s="26"/>
      <c r="P919" s="26"/>
      <c r="Q919" s="26"/>
      <c r="R919" s="26"/>
    </row>
    <row r="920" spans="2:18" ht="16.5" x14ac:dyDescent="0.3">
      <c r="B920" s="343" t="s">
        <v>979</v>
      </c>
      <c r="C920" s="344" t="s">
        <v>1026</v>
      </c>
      <c r="D920" s="345" t="s">
        <v>1031</v>
      </c>
      <c r="F920"/>
      <c r="G920"/>
      <c r="H920"/>
      <c r="J920" s="26"/>
      <c r="K920" s="26"/>
      <c r="L920" s="26"/>
      <c r="M920" s="26"/>
      <c r="O920" s="26"/>
      <c r="P920" s="26"/>
      <c r="Q920" s="26"/>
      <c r="R920" s="26"/>
    </row>
    <row r="921" spans="2:18" ht="16.5" x14ac:dyDescent="0.3">
      <c r="B921" s="343" t="s">
        <v>979</v>
      </c>
      <c r="C921" s="344" t="s">
        <v>1026</v>
      </c>
      <c r="D921" s="345" t="s">
        <v>1032</v>
      </c>
      <c r="F921"/>
      <c r="G921"/>
      <c r="H921"/>
      <c r="J921" s="26"/>
      <c r="K921" s="26"/>
      <c r="L921" s="26"/>
      <c r="M921" s="26"/>
      <c r="O921" s="26"/>
      <c r="P921" s="26"/>
      <c r="Q921" s="26"/>
      <c r="R921" s="26"/>
    </row>
    <row r="922" spans="2:18" ht="16.5" x14ac:dyDescent="0.3">
      <c r="B922" s="343" t="s">
        <v>979</v>
      </c>
      <c r="C922" s="344" t="s">
        <v>1026</v>
      </c>
      <c r="D922" s="345" t="s">
        <v>1033</v>
      </c>
      <c r="F922"/>
      <c r="G922"/>
      <c r="H922"/>
      <c r="J922" s="26"/>
      <c r="K922" s="26"/>
      <c r="L922" s="26"/>
      <c r="M922" s="26"/>
      <c r="O922" s="26"/>
      <c r="P922" s="26"/>
      <c r="Q922" s="26"/>
      <c r="R922" s="26"/>
    </row>
    <row r="923" spans="2:18" ht="16.5" x14ac:dyDescent="0.3">
      <c r="B923" s="343" t="s">
        <v>979</v>
      </c>
      <c r="C923" s="344" t="s">
        <v>1026</v>
      </c>
      <c r="D923" s="345" t="s">
        <v>1034</v>
      </c>
      <c r="F923"/>
      <c r="G923"/>
      <c r="H923"/>
      <c r="J923" s="26"/>
      <c r="K923" s="26"/>
      <c r="L923" s="26"/>
      <c r="M923" s="26"/>
      <c r="O923" s="26"/>
      <c r="P923" s="26"/>
      <c r="Q923" s="26"/>
      <c r="R923" s="26"/>
    </row>
    <row r="924" spans="2:18" ht="16.5" x14ac:dyDescent="0.3">
      <c r="B924" s="343" t="s">
        <v>979</v>
      </c>
      <c r="C924" s="344" t="s">
        <v>1026</v>
      </c>
      <c r="D924" s="345" t="s">
        <v>1035</v>
      </c>
      <c r="F924"/>
      <c r="G924"/>
      <c r="H924"/>
      <c r="J924" s="26"/>
      <c r="K924" s="26"/>
      <c r="L924" s="26"/>
      <c r="M924" s="26"/>
      <c r="O924" s="26"/>
      <c r="P924" s="26"/>
      <c r="Q924" s="26"/>
      <c r="R924" s="26"/>
    </row>
    <row r="925" spans="2:18" ht="16.5" x14ac:dyDescent="0.3">
      <c r="B925" s="343" t="s">
        <v>979</v>
      </c>
      <c r="C925" s="344" t="s">
        <v>1026</v>
      </c>
      <c r="D925" s="345" t="s">
        <v>1036</v>
      </c>
      <c r="F925"/>
      <c r="G925"/>
      <c r="H925"/>
      <c r="J925" s="26"/>
      <c r="K925" s="26"/>
      <c r="L925" s="26"/>
      <c r="M925" s="26"/>
      <c r="O925" s="26"/>
      <c r="P925" s="26"/>
      <c r="Q925" s="26"/>
      <c r="R925" s="26"/>
    </row>
    <row r="926" spans="2:18" ht="16.5" x14ac:dyDescent="0.3">
      <c r="B926" s="343" t="s">
        <v>979</v>
      </c>
      <c r="C926" s="344" t="s">
        <v>1026</v>
      </c>
      <c r="D926" s="345" t="s">
        <v>1037</v>
      </c>
      <c r="F926"/>
      <c r="G926"/>
      <c r="H926"/>
      <c r="J926" s="26"/>
      <c r="K926" s="26"/>
      <c r="L926" s="26"/>
      <c r="M926" s="26"/>
      <c r="O926" s="26"/>
      <c r="P926" s="26"/>
      <c r="Q926" s="26"/>
      <c r="R926" s="26"/>
    </row>
    <row r="927" spans="2:18" ht="16.5" x14ac:dyDescent="0.3">
      <c r="B927" s="343" t="s">
        <v>979</v>
      </c>
      <c r="C927" s="344" t="s">
        <v>1026</v>
      </c>
      <c r="D927" s="345" t="s">
        <v>1038</v>
      </c>
      <c r="F927"/>
      <c r="G927"/>
      <c r="H927"/>
      <c r="J927" s="26"/>
      <c r="K927" s="26"/>
      <c r="L927" s="26"/>
      <c r="M927" s="26"/>
      <c r="O927" s="26"/>
      <c r="P927" s="26"/>
      <c r="Q927" s="26"/>
      <c r="R927" s="26"/>
    </row>
    <row r="928" spans="2:18" ht="16.5" x14ac:dyDescent="0.3">
      <c r="B928" s="343" t="s">
        <v>979</v>
      </c>
      <c r="C928" s="344" t="s">
        <v>1026</v>
      </c>
      <c r="D928" s="345" t="s">
        <v>1039</v>
      </c>
      <c r="F928"/>
      <c r="G928"/>
      <c r="H928"/>
      <c r="J928" s="26"/>
      <c r="K928" s="26"/>
      <c r="L928" s="26"/>
      <c r="M928" s="26"/>
      <c r="O928" s="26"/>
      <c r="P928" s="26"/>
      <c r="Q928" s="26"/>
      <c r="R928" s="26"/>
    </row>
    <row r="929" spans="2:18" ht="16.5" x14ac:dyDescent="0.3">
      <c r="B929" s="343" t="s">
        <v>979</v>
      </c>
      <c r="C929" s="344" t="s">
        <v>1040</v>
      </c>
      <c r="D929" s="345" t="s">
        <v>1041</v>
      </c>
      <c r="F929"/>
      <c r="G929"/>
      <c r="H929"/>
      <c r="J929" s="26"/>
      <c r="K929" s="26"/>
      <c r="L929" s="26"/>
      <c r="M929" s="26"/>
      <c r="O929" s="26"/>
      <c r="P929" s="26"/>
      <c r="Q929" s="26"/>
      <c r="R929" s="26"/>
    </row>
    <row r="930" spans="2:18" ht="16.5" x14ac:dyDescent="0.3">
      <c r="B930" s="343" t="s">
        <v>979</v>
      </c>
      <c r="C930" s="344" t="s">
        <v>1040</v>
      </c>
      <c r="D930" s="345" t="s">
        <v>1042</v>
      </c>
      <c r="F930"/>
      <c r="G930"/>
      <c r="H930"/>
      <c r="J930" s="26"/>
      <c r="K930" s="26"/>
      <c r="L930" s="26"/>
      <c r="M930" s="26"/>
      <c r="O930" s="26"/>
      <c r="P930" s="26"/>
      <c r="Q930" s="26"/>
      <c r="R930" s="26"/>
    </row>
    <row r="931" spans="2:18" ht="16.5" x14ac:dyDescent="0.3">
      <c r="B931" s="343" t="s">
        <v>979</v>
      </c>
      <c r="C931" s="344" t="s">
        <v>1040</v>
      </c>
      <c r="D931" s="345" t="s">
        <v>1043</v>
      </c>
      <c r="F931"/>
      <c r="G931"/>
      <c r="H931"/>
      <c r="J931" s="26"/>
      <c r="K931" s="26"/>
      <c r="L931" s="26"/>
      <c r="M931" s="26"/>
      <c r="O931" s="26"/>
      <c r="P931" s="26"/>
      <c r="Q931" s="26"/>
      <c r="R931" s="26"/>
    </row>
    <row r="932" spans="2:18" ht="16.5" x14ac:dyDescent="0.3">
      <c r="B932" s="343" t="s">
        <v>979</v>
      </c>
      <c r="C932" s="344" t="s">
        <v>1040</v>
      </c>
      <c r="D932" s="345" t="s">
        <v>1044</v>
      </c>
      <c r="F932"/>
      <c r="G932"/>
      <c r="H932"/>
      <c r="J932" s="26"/>
      <c r="K932" s="26"/>
      <c r="L932" s="26"/>
      <c r="M932" s="26"/>
      <c r="O932" s="26"/>
      <c r="P932" s="26"/>
      <c r="Q932" s="26"/>
      <c r="R932" s="26"/>
    </row>
    <row r="933" spans="2:18" ht="16.5" x14ac:dyDescent="0.3">
      <c r="B933" s="343" t="s">
        <v>979</v>
      </c>
      <c r="C933" s="344" t="s">
        <v>1040</v>
      </c>
      <c r="D933" s="345" t="s">
        <v>1045</v>
      </c>
      <c r="F933"/>
      <c r="G933"/>
      <c r="H933"/>
      <c r="J933" s="26"/>
      <c r="K933" s="26"/>
      <c r="L933" s="26"/>
      <c r="M933" s="26"/>
      <c r="O933" s="26"/>
      <c r="P933" s="26"/>
      <c r="Q933" s="26"/>
      <c r="R933" s="26"/>
    </row>
    <row r="934" spans="2:18" ht="16.5" x14ac:dyDescent="0.3">
      <c r="B934" s="343" t="s">
        <v>979</v>
      </c>
      <c r="C934" s="344" t="s">
        <v>1040</v>
      </c>
      <c r="D934" s="345" t="s">
        <v>1046</v>
      </c>
      <c r="F934"/>
      <c r="G934"/>
      <c r="H934"/>
      <c r="J934" s="26"/>
      <c r="K934" s="26"/>
      <c r="L934" s="26"/>
      <c r="M934" s="26"/>
      <c r="O934" s="26"/>
      <c r="P934" s="26"/>
      <c r="Q934" s="26"/>
      <c r="R934" s="26"/>
    </row>
    <row r="935" spans="2:18" ht="16.5" x14ac:dyDescent="0.3">
      <c r="B935" s="343" t="s">
        <v>979</v>
      </c>
      <c r="C935" s="344" t="s">
        <v>980</v>
      </c>
      <c r="D935" s="345" t="s">
        <v>981</v>
      </c>
      <c r="F935"/>
      <c r="G935"/>
      <c r="H935"/>
      <c r="J935" s="26"/>
      <c r="K935" s="26"/>
      <c r="L935" s="26"/>
      <c r="M935" s="26"/>
      <c r="O935" s="26"/>
      <c r="P935" s="26"/>
      <c r="Q935" s="26"/>
      <c r="R935" s="26"/>
    </row>
    <row r="936" spans="2:18" ht="16.5" x14ac:dyDescent="0.3">
      <c r="B936" s="343" t="s">
        <v>979</v>
      </c>
      <c r="C936" s="344" t="s">
        <v>980</v>
      </c>
      <c r="D936" s="345" t="s">
        <v>982</v>
      </c>
      <c r="F936"/>
      <c r="G936"/>
      <c r="H936"/>
      <c r="J936" s="26"/>
      <c r="K936" s="26"/>
      <c r="L936" s="26"/>
      <c r="M936" s="26"/>
      <c r="O936" s="26"/>
      <c r="P936" s="26"/>
      <c r="Q936" s="26"/>
      <c r="R936" s="26"/>
    </row>
    <row r="937" spans="2:18" ht="16.5" x14ac:dyDescent="0.3">
      <c r="B937" s="343" t="s">
        <v>979</v>
      </c>
      <c r="C937" s="344" t="s">
        <v>980</v>
      </c>
      <c r="D937" s="345" t="s">
        <v>983</v>
      </c>
      <c r="F937"/>
      <c r="G937"/>
      <c r="H937"/>
      <c r="J937" s="26"/>
      <c r="K937" s="26"/>
      <c r="L937" s="26"/>
      <c r="M937" s="26"/>
      <c r="O937" s="26"/>
      <c r="P937" s="26"/>
      <c r="Q937" s="26"/>
      <c r="R937" s="26"/>
    </row>
    <row r="938" spans="2:18" ht="16.5" x14ac:dyDescent="0.3">
      <c r="B938" s="343" t="s">
        <v>979</v>
      </c>
      <c r="C938" s="344" t="s">
        <v>980</v>
      </c>
      <c r="D938" s="345" t="s">
        <v>984</v>
      </c>
      <c r="F938"/>
      <c r="G938"/>
      <c r="H938"/>
      <c r="J938" s="26"/>
      <c r="K938" s="26"/>
      <c r="L938" s="26"/>
      <c r="M938" s="26"/>
      <c r="O938" s="26"/>
      <c r="P938" s="26"/>
      <c r="Q938" s="26"/>
      <c r="R938" s="26"/>
    </row>
    <row r="939" spans="2:18" ht="16.5" x14ac:dyDescent="0.3">
      <c r="B939" s="343" t="s">
        <v>979</v>
      </c>
      <c r="C939" s="344" t="s">
        <v>980</v>
      </c>
      <c r="D939" s="345" t="s">
        <v>985</v>
      </c>
      <c r="F939"/>
      <c r="G939"/>
      <c r="H939"/>
      <c r="J939" s="26"/>
      <c r="K939" s="26"/>
      <c r="L939" s="26"/>
      <c r="M939" s="26"/>
      <c r="O939" s="26"/>
      <c r="P939" s="26"/>
      <c r="Q939" s="26"/>
      <c r="R939" s="26"/>
    </row>
    <row r="940" spans="2:18" ht="16.5" x14ac:dyDescent="0.3">
      <c r="B940" s="343" t="s">
        <v>979</v>
      </c>
      <c r="C940" s="344" t="s">
        <v>980</v>
      </c>
      <c r="D940" s="345" t="s">
        <v>986</v>
      </c>
      <c r="F940"/>
      <c r="G940"/>
      <c r="H940"/>
      <c r="J940" s="26"/>
      <c r="K940" s="26"/>
      <c r="L940" s="26"/>
      <c r="M940" s="26"/>
      <c r="O940" s="26"/>
      <c r="P940" s="26"/>
      <c r="Q940" s="26"/>
      <c r="R940" s="26"/>
    </row>
    <row r="941" spans="2:18" ht="16.5" x14ac:dyDescent="0.3">
      <c r="B941" s="343" t="s">
        <v>979</v>
      </c>
      <c r="C941" s="344" t="s">
        <v>980</v>
      </c>
      <c r="D941" s="345" t="s">
        <v>987</v>
      </c>
      <c r="F941"/>
      <c r="G941"/>
      <c r="H941"/>
      <c r="J941" s="26"/>
      <c r="K941" s="26"/>
      <c r="L941" s="26"/>
      <c r="M941" s="26"/>
      <c r="O941" s="26"/>
      <c r="P941" s="26"/>
      <c r="Q941" s="26"/>
      <c r="R941" s="26"/>
    </row>
    <row r="942" spans="2:18" ht="16.5" x14ac:dyDescent="0.3">
      <c r="B942" s="343" t="s">
        <v>979</v>
      </c>
      <c r="C942" s="344" t="s">
        <v>980</v>
      </c>
      <c r="D942" s="345" t="s">
        <v>988</v>
      </c>
      <c r="E942" s="8"/>
      <c r="F942"/>
      <c r="G942"/>
      <c r="H942"/>
      <c r="I942" s="53"/>
      <c r="L942" s="26"/>
      <c r="N942" s="53"/>
      <c r="Q942" s="26"/>
      <c r="R942" s="26"/>
    </row>
    <row r="943" spans="2:18" ht="16.5" x14ac:dyDescent="0.3">
      <c r="B943" s="343" t="s">
        <v>979</v>
      </c>
      <c r="C943" s="344" t="s">
        <v>980</v>
      </c>
      <c r="D943" s="345" t="s">
        <v>989</v>
      </c>
      <c r="E943" s="8"/>
      <c r="F943"/>
      <c r="G943"/>
      <c r="H943"/>
      <c r="I943" s="53"/>
      <c r="L943" s="26"/>
      <c r="N943" s="53"/>
      <c r="Q943" s="26"/>
      <c r="R943" s="26"/>
    </row>
    <row r="944" spans="2:18" ht="16.5" x14ac:dyDescent="0.3">
      <c r="B944" s="343" t="s">
        <v>979</v>
      </c>
      <c r="C944" s="344" t="s">
        <v>980</v>
      </c>
      <c r="D944" s="345" t="s">
        <v>990</v>
      </c>
      <c r="E944" s="8"/>
      <c r="F944"/>
      <c r="G944"/>
      <c r="H944"/>
      <c r="I944" s="53"/>
      <c r="L944" s="26"/>
      <c r="N944" s="53"/>
      <c r="Q944" s="26"/>
      <c r="R944" s="26"/>
    </row>
    <row r="945" spans="2:18" ht="16.5" x14ac:dyDescent="0.3">
      <c r="B945" s="343" t="s">
        <v>979</v>
      </c>
      <c r="C945" s="344" t="s">
        <v>991</v>
      </c>
      <c r="D945" s="345" t="s">
        <v>992</v>
      </c>
      <c r="E945" s="8"/>
      <c r="F945"/>
      <c r="G945"/>
      <c r="H945"/>
      <c r="I945" s="53"/>
      <c r="L945" s="26"/>
      <c r="N945" s="53"/>
      <c r="Q945" s="26"/>
      <c r="R945" s="26"/>
    </row>
    <row r="946" spans="2:18" ht="16.5" x14ac:dyDescent="0.3">
      <c r="B946" s="343" t="s">
        <v>979</v>
      </c>
      <c r="C946" s="344" t="s">
        <v>991</v>
      </c>
      <c r="D946" s="345" t="s">
        <v>993</v>
      </c>
      <c r="E946" s="8"/>
      <c r="F946"/>
      <c r="G946"/>
      <c r="H946"/>
      <c r="I946" s="53"/>
      <c r="L946" s="26"/>
      <c r="N946" s="53"/>
      <c r="Q946" s="26"/>
      <c r="R946" s="26"/>
    </row>
    <row r="947" spans="2:18" ht="16.5" x14ac:dyDescent="0.3">
      <c r="B947" s="343" t="s">
        <v>979</v>
      </c>
      <c r="C947" s="344" t="s">
        <v>991</v>
      </c>
      <c r="D947" s="345" t="s">
        <v>994</v>
      </c>
      <c r="E947" s="8"/>
      <c r="F947"/>
      <c r="G947"/>
      <c r="H947"/>
      <c r="I947" s="53"/>
      <c r="L947" s="26"/>
      <c r="N947" s="53"/>
      <c r="Q947" s="26"/>
      <c r="R947" s="26"/>
    </row>
    <row r="948" spans="2:18" ht="16.5" x14ac:dyDescent="0.3">
      <c r="B948" s="343" t="s">
        <v>979</v>
      </c>
      <c r="C948" s="344" t="s">
        <v>995</v>
      </c>
      <c r="D948" s="345" t="s">
        <v>996</v>
      </c>
      <c r="E948" s="8"/>
      <c r="F948"/>
      <c r="G948"/>
      <c r="H948"/>
      <c r="I948" s="53"/>
      <c r="L948" s="26"/>
      <c r="N948" s="53"/>
      <c r="Q948" s="26"/>
      <c r="R948" s="26"/>
    </row>
    <row r="949" spans="2:18" ht="16.5" x14ac:dyDescent="0.3">
      <c r="B949" s="343" t="s">
        <v>979</v>
      </c>
      <c r="C949" s="344" t="s">
        <v>995</v>
      </c>
      <c r="D949" s="345" t="s">
        <v>997</v>
      </c>
      <c r="E949" s="8"/>
      <c r="F949"/>
      <c r="G949"/>
      <c r="H949"/>
      <c r="I949" s="53"/>
      <c r="L949" s="26"/>
      <c r="N949" s="53"/>
      <c r="Q949" s="26"/>
      <c r="R949" s="26"/>
    </row>
    <row r="950" spans="2:18" ht="16.5" x14ac:dyDescent="0.3">
      <c r="B950" s="343" t="s">
        <v>979</v>
      </c>
      <c r="C950" s="344" t="s">
        <v>995</v>
      </c>
      <c r="D950" s="345" t="s">
        <v>998</v>
      </c>
      <c r="E950" s="8"/>
      <c r="F950"/>
      <c r="G950"/>
      <c r="H950"/>
      <c r="I950" s="53"/>
      <c r="L950" s="26"/>
      <c r="N950" s="53"/>
      <c r="Q950" s="26"/>
      <c r="R950" s="26"/>
    </row>
    <row r="951" spans="2:18" ht="16.5" x14ac:dyDescent="0.3">
      <c r="B951" s="343" t="s">
        <v>979</v>
      </c>
      <c r="C951" s="344" t="s">
        <v>995</v>
      </c>
      <c r="D951" s="345" t="s">
        <v>999</v>
      </c>
      <c r="E951" s="8"/>
      <c r="F951"/>
      <c r="G951"/>
      <c r="H951"/>
      <c r="I951" s="53"/>
      <c r="L951" s="26"/>
      <c r="N951" s="53"/>
      <c r="Q951" s="26"/>
      <c r="R951" s="26"/>
    </row>
    <row r="952" spans="2:18" ht="16.5" x14ac:dyDescent="0.3">
      <c r="B952" s="343" t="s">
        <v>979</v>
      </c>
      <c r="C952" s="344" t="s">
        <v>995</v>
      </c>
      <c r="D952" s="345" t="s">
        <v>1000</v>
      </c>
      <c r="E952" s="8"/>
      <c r="F952"/>
      <c r="G952"/>
      <c r="H952"/>
      <c r="I952" s="53"/>
      <c r="L952" s="26"/>
      <c r="N952" s="53"/>
      <c r="Q952" s="26"/>
      <c r="R952" s="26"/>
    </row>
    <row r="953" spans="2:18" ht="16.5" x14ac:dyDescent="0.3">
      <c r="B953" s="343" t="s">
        <v>979</v>
      </c>
      <c r="C953" s="344" t="s">
        <v>1001</v>
      </c>
      <c r="D953" s="345" t="s">
        <v>1002</v>
      </c>
      <c r="E953" s="8"/>
      <c r="F953"/>
      <c r="G953"/>
      <c r="H953"/>
      <c r="I953" s="53"/>
      <c r="L953" s="26"/>
      <c r="N953" s="53"/>
      <c r="Q953" s="26"/>
      <c r="R953" s="26"/>
    </row>
    <row r="954" spans="2:18" ht="16.5" x14ac:dyDescent="0.3">
      <c r="B954" s="343" t="s">
        <v>979</v>
      </c>
      <c r="C954" s="344" t="s">
        <v>1001</v>
      </c>
      <c r="D954" s="345" t="s">
        <v>1003</v>
      </c>
      <c r="E954" s="8"/>
      <c r="F954"/>
      <c r="G954"/>
      <c r="H954"/>
      <c r="I954" s="53"/>
      <c r="L954" s="26"/>
      <c r="N954" s="53"/>
      <c r="Q954" s="26"/>
      <c r="R954" s="26"/>
    </row>
    <row r="955" spans="2:18" ht="16.5" x14ac:dyDescent="0.3">
      <c r="B955" s="343" t="s">
        <v>979</v>
      </c>
      <c r="C955" s="344" t="s">
        <v>1001</v>
      </c>
      <c r="D955" s="345" t="s">
        <v>1004</v>
      </c>
      <c r="E955" s="8"/>
      <c r="F955"/>
      <c r="G955"/>
      <c r="H955"/>
      <c r="I955" s="53"/>
      <c r="L955" s="26"/>
      <c r="N955" s="53"/>
      <c r="Q955" s="26"/>
      <c r="R955" s="26"/>
    </row>
    <row r="956" spans="2:18" ht="16.5" x14ac:dyDescent="0.3">
      <c r="B956" s="343" t="s">
        <v>979</v>
      </c>
      <c r="C956" s="344" t="s">
        <v>1001</v>
      </c>
      <c r="D956" s="345" t="s">
        <v>1005</v>
      </c>
      <c r="E956" s="8"/>
      <c r="F956"/>
      <c r="G956"/>
      <c r="H956"/>
      <c r="I956" s="53"/>
      <c r="L956" s="26"/>
      <c r="N956" s="53"/>
      <c r="Q956" s="26"/>
      <c r="R956" s="26"/>
    </row>
    <row r="957" spans="2:18" ht="16.5" x14ac:dyDescent="0.3">
      <c r="B957" s="343" t="s">
        <v>979</v>
      </c>
      <c r="C957" s="344" t="s">
        <v>1006</v>
      </c>
      <c r="D957" s="345" t="s">
        <v>1007</v>
      </c>
      <c r="E957" s="8"/>
      <c r="F957"/>
      <c r="G957"/>
      <c r="H957"/>
      <c r="I957" s="53"/>
      <c r="L957" s="26"/>
      <c r="N957" s="53"/>
      <c r="Q957" s="26"/>
      <c r="R957" s="26"/>
    </row>
    <row r="958" spans="2:18" ht="16.5" x14ac:dyDescent="0.3">
      <c r="B958" s="343" t="s">
        <v>979</v>
      </c>
      <c r="C958" s="344" t="s">
        <v>1006</v>
      </c>
      <c r="D958" s="345" t="s">
        <v>1008</v>
      </c>
      <c r="E958" s="8"/>
      <c r="F958"/>
      <c r="G958"/>
      <c r="H958"/>
      <c r="I958" s="53"/>
      <c r="L958" s="26"/>
      <c r="N958" s="53"/>
      <c r="Q958" s="26"/>
      <c r="R958" s="26"/>
    </row>
    <row r="959" spans="2:18" ht="16.5" x14ac:dyDescent="0.3">
      <c r="B959" s="343" t="s">
        <v>979</v>
      </c>
      <c r="C959" s="344" t="s">
        <v>1006</v>
      </c>
      <c r="D959" s="345" t="s">
        <v>1009</v>
      </c>
      <c r="E959" s="8"/>
      <c r="F959"/>
      <c r="G959"/>
      <c r="H959"/>
      <c r="I959" s="53"/>
      <c r="L959" s="26"/>
      <c r="N959" s="53"/>
      <c r="Q959" s="26"/>
      <c r="R959" s="26"/>
    </row>
    <row r="960" spans="2:18" ht="16.5" x14ac:dyDescent="0.3">
      <c r="B960" s="343" t="s">
        <v>979</v>
      </c>
      <c r="C960" s="344" t="s">
        <v>1006</v>
      </c>
      <c r="D960" s="345" t="s">
        <v>1010</v>
      </c>
      <c r="E960" s="8"/>
      <c r="F960"/>
      <c r="G960"/>
      <c r="H960"/>
      <c r="I960" s="53"/>
      <c r="L960" s="26"/>
      <c r="N960" s="53"/>
      <c r="Q960" s="26"/>
      <c r="R960" s="26"/>
    </row>
    <row r="961" spans="2:18" ht="16.5" x14ac:dyDescent="0.3">
      <c r="B961" s="343" t="s">
        <v>979</v>
      </c>
      <c r="C961" s="344" t="s">
        <v>1006</v>
      </c>
      <c r="D961" s="345" t="s">
        <v>1011</v>
      </c>
      <c r="E961" s="8"/>
      <c r="F961"/>
      <c r="G961"/>
      <c r="H961"/>
      <c r="I961" s="53"/>
      <c r="L961" s="26"/>
      <c r="N961" s="53"/>
      <c r="Q961" s="26"/>
      <c r="R961" s="26"/>
    </row>
    <row r="962" spans="2:18" ht="16.5" x14ac:dyDescent="0.3">
      <c r="B962" s="343" t="s">
        <v>979</v>
      </c>
      <c r="C962" s="344" t="s">
        <v>1006</v>
      </c>
      <c r="D962" s="345" t="s">
        <v>1012</v>
      </c>
      <c r="E962" s="8"/>
      <c r="F962"/>
      <c r="G962"/>
      <c r="H962"/>
      <c r="I962" s="53"/>
      <c r="L962" s="26"/>
      <c r="N962" s="53"/>
      <c r="Q962" s="26"/>
      <c r="R962" s="26"/>
    </row>
    <row r="963" spans="2:18" ht="16.5" x14ac:dyDescent="0.3">
      <c r="B963" s="343" t="s">
        <v>979</v>
      </c>
      <c r="C963" s="344" t="s">
        <v>1013</v>
      </c>
      <c r="D963" s="345" t="s">
        <v>1014</v>
      </c>
      <c r="E963" s="8"/>
      <c r="F963"/>
      <c r="G963"/>
      <c r="H963"/>
      <c r="I963" s="53"/>
      <c r="L963" s="26"/>
      <c r="N963" s="53"/>
      <c r="Q963" s="26"/>
      <c r="R963" s="26"/>
    </row>
    <row r="964" spans="2:18" ht="16.5" x14ac:dyDescent="0.3">
      <c r="B964" s="343" t="s">
        <v>979</v>
      </c>
      <c r="C964" s="344" t="s">
        <v>1013</v>
      </c>
      <c r="D964" s="345" t="s">
        <v>1015</v>
      </c>
      <c r="E964" s="8"/>
      <c r="F964"/>
      <c r="G964"/>
      <c r="H964"/>
      <c r="I964" s="53"/>
      <c r="L964" s="26"/>
      <c r="N964" s="53"/>
      <c r="Q964" s="26"/>
      <c r="R964" s="26"/>
    </row>
    <row r="965" spans="2:18" ht="16.5" x14ac:dyDescent="0.3">
      <c r="B965" s="343" t="s">
        <v>979</v>
      </c>
      <c r="C965" s="344" t="s">
        <v>1013</v>
      </c>
      <c r="D965" s="345" t="s">
        <v>1016</v>
      </c>
      <c r="E965" s="8"/>
      <c r="F965"/>
      <c r="G965"/>
      <c r="H965"/>
      <c r="I965" s="53"/>
      <c r="L965" s="26"/>
      <c r="N965" s="53"/>
      <c r="Q965" s="26"/>
      <c r="R965" s="26"/>
    </row>
    <row r="966" spans="2:18" ht="16.5" x14ac:dyDescent="0.3">
      <c r="B966" s="343" t="s">
        <v>979</v>
      </c>
      <c r="C966" s="344" t="s">
        <v>1013</v>
      </c>
      <c r="D966" s="345" t="s">
        <v>1017</v>
      </c>
      <c r="E966" s="8"/>
      <c r="F966"/>
      <c r="G966"/>
      <c r="H966"/>
      <c r="I966" s="53"/>
      <c r="L966" s="26"/>
      <c r="N966" s="53"/>
      <c r="Q966" s="26"/>
      <c r="R966" s="26"/>
    </row>
    <row r="967" spans="2:18" ht="16.5" x14ac:dyDescent="0.3">
      <c r="B967" s="343" t="s">
        <v>979</v>
      </c>
      <c r="C967" s="344" t="s">
        <v>1018</v>
      </c>
      <c r="D967" s="345" t="s">
        <v>1020</v>
      </c>
      <c r="E967" s="8"/>
      <c r="F967"/>
      <c r="G967"/>
      <c r="H967"/>
      <c r="I967" s="53"/>
      <c r="L967" s="26"/>
      <c r="N967" s="53"/>
      <c r="Q967" s="26"/>
      <c r="R967" s="26"/>
    </row>
    <row r="968" spans="2:18" ht="16.5" x14ac:dyDescent="0.3">
      <c r="B968" s="343" t="s">
        <v>979</v>
      </c>
      <c r="C968" s="344" t="s">
        <v>1018</v>
      </c>
      <c r="D968" s="345" t="s">
        <v>1021</v>
      </c>
      <c r="E968" s="8"/>
      <c r="F968"/>
      <c r="G968"/>
      <c r="H968"/>
      <c r="I968" s="53"/>
      <c r="L968" s="26"/>
      <c r="N968" s="53"/>
      <c r="Q968" s="26"/>
      <c r="R968" s="26"/>
    </row>
    <row r="969" spans="2:18" ht="16.5" x14ac:dyDescent="0.3">
      <c r="B969" s="343" t="s">
        <v>979</v>
      </c>
      <c r="C969" s="344" t="s">
        <v>1018</v>
      </c>
      <c r="D969" s="345" t="s">
        <v>385</v>
      </c>
      <c r="E969" s="8"/>
      <c r="F969"/>
      <c r="G969"/>
      <c r="H969"/>
      <c r="I969" s="53"/>
      <c r="L969" s="26"/>
      <c r="N969" s="53"/>
      <c r="Q969" s="26"/>
      <c r="R969" s="26"/>
    </row>
    <row r="970" spans="2:18" ht="16.5" x14ac:dyDescent="0.3">
      <c r="B970" s="343" t="s">
        <v>979</v>
      </c>
      <c r="C970" s="344" t="s">
        <v>1018</v>
      </c>
      <c r="D970" s="345" t="s">
        <v>1025</v>
      </c>
      <c r="E970" s="8"/>
      <c r="F970"/>
      <c r="G970"/>
      <c r="H970"/>
      <c r="I970" s="53"/>
      <c r="L970" s="26"/>
      <c r="N970" s="53"/>
      <c r="Q970" s="26"/>
      <c r="R970" s="26"/>
    </row>
    <row r="971" spans="2:18" ht="16.5" x14ac:dyDescent="0.3">
      <c r="B971" s="343" t="s">
        <v>979</v>
      </c>
      <c r="C971" s="344" t="s">
        <v>1018</v>
      </c>
      <c r="D971" s="345" t="s">
        <v>1019</v>
      </c>
      <c r="E971" s="8"/>
      <c r="F971"/>
      <c r="G971"/>
      <c r="H971"/>
      <c r="I971" s="53"/>
      <c r="L971" s="26"/>
      <c r="N971" s="53"/>
      <c r="Q971" s="26"/>
      <c r="R971" s="26"/>
    </row>
    <row r="972" spans="2:18" ht="16.5" x14ac:dyDescent="0.3">
      <c r="B972" s="343" t="s">
        <v>979</v>
      </c>
      <c r="C972" s="344" t="s">
        <v>1018</v>
      </c>
      <c r="D972" s="345" t="s">
        <v>1022</v>
      </c>
      <c r="E972" s="8"/>
      <c r="F972"/>
      <c r="G972"/>
      <c r="H972"/>
      <c r="I972" s="53"/>
      <c r="L972" s="26"/>
      <c r="N972" s="53"/>
      <c r="Q972" s="26"/>
      <c r="R972" s="26"/>
    </row>
    <row r="973" spans="2:18" ht="16.5" x14ac:dyDescent="0.3">
      <c r="B973" s="343" t="s">
        <v>979</v>
      </c>
      <c r="C973" s="344" t="s">
        <v>1018</v>
      </c>
      <c r="D973" s="345" t="s">
        <v>1023</v>
      </c>
      <c r="E973" s="8"/>
      <c r="F973"/>
      <c r="G973"/>
      <c r="H973"/>
      <c r="I973" s="53"/>
      <c r="L973" s="26"/>
      <c r="N973" s="53"/>
      <c r="Q973" s="26"/>
      <c r="R973" s="26"/>
    </row>
    <row r="974" spans="2:18" ht="16.5" x14ac:dyDescent="0.3">
      <c r="B974" s="343" t="s">
        <v>979</v>
      </c>
      <c r="C974" s="344" t="s">
        <v>1018</v>
      </c>
      <c r="D974" s="345" t="s">
        <v>1024</v>
      </c>
      <c r="E974" s="8"/>
      <c r="F974"/>
      <c r="G974"/>
      <c r="H974"/>
      <c r="I974" s="53"/>
      <c r="L974" s="26"/>
      <c r="N974" s="53"/>
      <c r="Q974" s="26"/>
      <c r="R974" s="26"/>
    </row>
    <row r="975" spans="2:18" ht="16.5" x14ac:dyDescent="0.3">
      <c r="B975" s="343" t="s">
        <v>979</v>
      </c>
      <c r="C975" s="344" t="s">
        <v>1026</v>
      </c>
      <c r="D975" s="345" t="s">
        <v>1027</v>
      </c>
      <c r="E975" s="8"/>
      <c r="F975"/>
      <c r="G975"/>
      <c r="H975"/>
      <c r="I975" s="53"/>
      <c r="L975" s="26"/>
      <c r="N975" s="53"/>
      <c r="Q975" s="26"/>
      <c r="R975" s="26"/>
    </row>
    <row r="976" spans="2:18" ht="16.5" x14ac:dyDescent="0.3">
      <c r="B976" s="343" t="s">
        <v>979</v>
      </c>
      <c r="C976" s="344" t="s">
        <v>1026</v>
      </c>
      <c r="D976" s="345" t="s">
        <v>1028</v>
      </c>
      <c r="E976" s="8"/>
      <c r="F976"/>
      <c r="G976"/>
      <c r="H976"/>
      <c r="I976" s="53"/>
      <c r="L976" s="26"/>
      <c r="N976" s="53"/>
      <c r="Q976" s="26"/>
      <c r="R976" s="26"/>
    </row>
    <row r="977" spans="2:18" ht="16.5" x14ac:dyDescent="0.3">
      <c r="B977" s="343" t="s">
        <v>979</v>
      </c>
      <c r="C977" s="344" t="s">
        <v>1026</v>
      </c>
      <c r="D977" s="345" t="s">
        <v>1029</v>
      </c>
      <c r="E977" s="8"/>
      <c r="F977"/>
      <c r="G977"/>
      <c r="H977"/>
      <c r="I977" s="53"/>
      <c r="L977" s="26"/>
      <c r="N977" s="53"/>
      <c r="Q977" s="26"/>
      <c r="R977" s="26"/>
    </row>
    <row r="978" spans="2:18" ht="16.5" x14ac:dyDescent="0.3">
      <c r="B978" s="343" t="s">
        <v>1047</v>
      </c>
      <c r="C978" s="344" t="s">
        <v>1048</v>
      </c>
      <c r="D978" s="345" t="s">
        <v>1049</v>
      </c>
      <c r="E978" s="8"/>
      <c r="F978"/>
      <c r="G978"/>
      <c r="H978"/>
      <c r="I978" s="53"/>
      <c r="L978" s="26"/>
      <c r="N978" s="53"/>
      <c r="Q978" s="26"/>
      <c r="R978" s="26"/>
    </row>
    <row r="979" spans="2:18" ht="16.5" x14ac:dyDescent="0.3">
      <c r="B979" s="343" t="s">
        <v>1047</v>
      </c>
      <c r="C979" s="344" t="s">
        <v>1048</v>
      </c>
      <c r="D979" s="345" t="s">
        <v>384</v>
      </c>
      <c r="E979" s="8"/>
      <c r="F979"/>
      <c r="G979"/>
      <c r="H979"/>
      <c r="I979" s="53"/>
      <c r="L979" s="26"/>
      <c r="N979" s="53"/>
      <c r="Q979" s="26"/>
      <c r="R979" s="26"/>
    </row>
    <row r="980" spans="2:18" ht="16.5" x14ac:dyDescent="0.3">
      <c r="B980" s="343" t="s">
        <v>1047</v>
      </c>
      <c r="C980" s="344" t="s">
        <v>1048</v>
      </c>
      <c r="D980" s="345" t="s">
        <v>1050</v>
      </c>
      <c r="E980" s="8"/>
      <c r="F980"/>
      <c r="G980"/>
      <c r="H980"/>
      <c r="I980" s="53"/>
      <c r="L980" s="26"/>
      <c r="N980" s="53"/>
      <c r="Q980" s="26"/>
      <c r="R980" s="26"/>
    </row>
    <row r="981" spans="2:18" ht="16.5" x14ac:dyDescent="0.3">
      <c r="B981" s="343" t="s">
        <v>1047</v>
      </c>
      <c r="C981" s="344" t="s">
        <v>1048</v>
      </c>
      <c r="D981" s="345" t="s">
        <v>1051</v>
      </c>
      <c r="E981" s="8"/>
      <c r="F981"/>
      <c r="G981"/>
      <c r="H981"/>
      <c r="I981" s="53"/>
      <c r="L981" s="26"/>
      <c r="N981" s="53"/>
      <c r="Q981" s="26"/>
      <c r="R981" s="26"/>
    </row>
    <row r="982" spans="2:18" ht="16.5" x14ac:dyDescent="0.3">
      <c r="B982" s="343" t="s">
        <v>1047</v>
      </c>
      <c r="C982" s="344" t="s">
        <v>1048</v>
      </c>
      <c r="D982" s="345" t="s">
        <v>1052</v>
      </c>
      <c r="E982" s="8"/>
      <c r="F982"/>
      <c r="G982"/>
      <c r="H982"/>
      <c r="I982" s="53"/>
      <c r="L982" s="26"/>
      <c r="N982" s="53"/>
      <c r="Q982" s="26"/>
      <c r="R982" s="26"/>
    </row>
    <row r="983" spans="2:18" ht="16.5" x14ac:dyDescent="0.3">
      <c r="B983" s="343" t="s">
        <v>1047</v>
      </c>
      <c r="C983" s="344" t="s">
        <v>1048</v>
      </c>
      <c r="D983" s="345" t="s">
        <v>1053</v>
      </c>
      <c r="E983" s="8"/>
      <c r="F983"/>
      <c r="G983"/>
      <c r="H983"/>
      <c r="I983" s="53"/>
      <c r="L983" s="26"/>
      <c r="N983" s="53"/>
      <c r="Q983" s="26"/>
      <c r="R983" s="26"/>
    </row>
    <row r="984" spans="2:18" ht="16.5" x14ac:dyDescent="0.3">
      <c r="B984" s="343" t="s">
        <v>1047</v>
      </c>
      <c r="C984" s="344" t="s">
        <v>1048</v>
      </c>
      <c r="D984" s="345" t="s">
        <v>1054</v>
      </c>
      <c r="E984" s="8"/>
      <c r="F984"/>
      <c r="G984"/>
      <c r="H984"/>
      <c r="I984" s="53"/>
      <c r="L984" s="26"/>
      <c r="N984" s="53"/>
      <c r="Q984" s="26"/>
      <c r="R984" s="26"/>
    </row>
    <row r="985" spans="2:18" ht="16.5" x14ac:dyDescent="0.3">
      <c r="B985" s="343" t="s">
        <v>1047</v>
      </c>
      <c r="C985" s="344" t="s">
        <v>1048</v>
      </c>
      <c r="D985" s="345" t="s">
        <v>1055</v>
      </c>
      <c r="E985" s="8"/>
      <c r="F985"/>
      <c r="G985"/>
      <c r="H985"/>
      <c r="I985" s="53"/>
      <c r="L985" s="26"/>
      <c r="N985" s="53"/>
      <c r="Q985" s="26"/>
      <c r="R985" s="26"/>
    </row>
    <row r="986" spans="2:18" ht="16.5" x14ac:dyDescent="0.3">
      <c r="B986" s="343" t="s">
        <v>1047</v>
      </c>
      <c r="C986" s="344" t="s">
        <v>1048</v>
      </c>
      <c r="D986" s="345" t="s">
        <v>1056</v>
      </c>
      <c r="E986" s="8"/>
      <c r="F986"/>
      <c r="G986"/>
      <c r="H986"/>
      <c r="I986" s="53"/>
      <c r="L986" s="26"/>
      <c r="N986" s="53"/>
      <c r="Q986" s="26"/>
      <c r="R986" s="26"/>
    </row>
    <row r="987" spans="2:18" ht="16.5" x14ac:dyDescent="0.3">
      <c r="B987" s="343" t="s">
        <v>1047</v>
      </c>
      <c r="C987" s="344" t="s">
        <v>1048</v>
      </c>
      <c r="D987" s="345" t="s">
        <v>1057</v>
      </c>
      <c r="E987" s="8"/>
      <c r="F987"/>
      <c r="G987"/>
      <c r="H987"/>
      <c r="I987" s="53"/>
      <c r="L987" s="26"/>
      <c r="N987" s="53"/>
      <c r="Q987" s="26"/>
      <c r="R987" s="26"/>
    </row>
    <row r="988" spans="2:18" ht="16.5" x14ac:dyDescent="0.3">
      <c r="B988" s="343" t="s">
        <v>1047</v>
      </c>
      <c r="C988" s="344" t="s">
        <v>1048</v>
      </c>
      <c r="D988" s="345" t="s">
        <v>1058</v>
      </c>
      <c r="E988" s="8"/>
      <c r="F988"/>
      <c r="G988"/>
      <c r="H988"/>
      <c r="I988" s="53"/>
      <c r="L988" s="26"/>
      <c r="N988" s="53"/>
      <c r="Q988" s="26"/>
      <c r="R988" s="26"/>
    </row>
    <row r="989" spans="2:18" ht="16.5" x14ac:dyDescent="0.3">
      <c r="B989" s="343" t="s">
        <v>1047</v>
      </c>
      <c r="C989" s="344" t="s">
        <v>1048</v>
      </c>
      <c r="D989" s="345" t="s">
        <v>1059</v>
      </c>
      <c r="E989" s="8"/>
      <c r="F989"/>
      <c r="G989"/>
      <c r="H989"/>
      <c r="I989" s="53"/>
      <c r="L989" s="26"/>
      <c r="N989" s="53"/>
      <c r="Q989" s="26"/>
      <c r="R989" s="26"/>
    </row>
    <row r="990" spans="2:18" ht="16.5" x14ac:dyDescent="0.3">
      <c r="B990" s="343" t="s">
        <v>1047</v>
      </c>
      <c r="C990" s="344" t="s">
        <v>1048</v>
      </c>
      <c r="D990" s="345" t="s">
        <v>1060</v>
      </c>
      <c r="E990" s="8"/>
      <c r="F990"/>
      <c r="G990"/>
      <c r="H990"/>
      <c r="I990" s="53"/>
      <c r="L990" s="26"/>
      <c r="N990" s="53"/>
      <c r="Q990" s="26"/>
      <c r="R990" s="26"/>
    </row>
    <row r="991" spans="2:18" ht="16.5" x14ac:dyDescent="0.3">
      <c r="B991" s="343" t="s">
        <v>1047</v>
      </c>
      <c r="C991" s="344" t="s">
        <v>1048</v>
      </c>
      <c r="D991" s="345" t="s">
        <v>1061</v>
      </c>
      <c r="E991" s="8"/>
      <c r="F991"/>
      <c r="G991"/>
      <c r="H991"/>
      <c r="I991" s="53"/>
      <c r="L991" s="26"/>
      <c r="N991" s="53"/>
      <c r="Q991" s="26"/>
      <c r="R991" s="26"/>
    </row>
    <row r="992" spans="2:18" ht="16.5" x14ac:dyDescent="0.3">
      <c r="B992" s="343" t="s">
        <v>1047</v>
      </c>
      <c r="C992" s="344" t="s">
        <v>1048</v>
      </c>
      <c r="D992" s="345" t="s">
        <v>1062</v>
      </c>
      <c r="E992" s="8"/>
      <c r="F992"/>
      <c r="G992"/>
      <c r="H992"/>
      <c r="I992" s="53"/>
      <c r="L992" s="26"/>
      <c r="N992" s="53"/>
      <c r="Q992" s="26"/>
      <c r="R992" s="26"/>
    </row>
    <row r="993" spans="2:18" ht="16.5" x14ac:dyDescent="0.3">
      <c r="B993" s="343" t="s">
        <v>1047</v>
      </c>
      <c r="C993" s="344" t="s">
        <v>1048</v>
      </c>
      <c r="D993" s="345" t="s">
        <v>1063</v>
      </c>
      <c r="E993" s="8"/>
      <c r="F993"/>
      <c r="G993"/>
      <c r="H993"/>
      <c r="I993" s="53"/>
      <c r="L993" s="26"/>
      <c r="N993" s="53"/>
      <c r="Q993" s="26"/>
      <c r="R993" s="26"/>
    </row>
    <row r="994" spans="2:18" ht="16.5" x14ac:dyDescent="0.3">
      <c r="B994" s="343" t="s">
        <v>1047</v>
      </c>
      <c r="C994" s="344" t="s">
        <v>1241</v>
      </c>
      <c r="D994" s="345" t="s">
        <v>1242</v>
      </c>
      <c r="E994" s="8"/>
      <c r="F994"/>
      <c r="G994"/>
      <c r="H994"/>
      <c r="I994" s="53"/>
      <c r="L994" s="26"/>
      <c r="N994" s="53"/>
      <c r="Q994" s="26"/>
      <c r="R994" s="26"/>
    </row>
    <row r="995" spans="2:18" ht="16.5" x14ac:dyDescent="0.3">
      <c r="B995" s="343" t="s">
        <v>1047</v>
      </c>
      <c r="C995" s="344" t="s">
        <v>1241</v>
      </c>
      <c r="D995" s="345" t="s">
        <v>1243</v>
      </c>
      <c r="E995" s="8"/>
      <c r="F995"/>
      <c r="G995"/>
      <c r="H995"/>
      <c r="I995" s="53"/>
      <c r="L995" s="26"/>
      <c r="N995" s="53"/>
      <c r="Q995" s="26"/>
      <c r="R995" s="26"/>
    </row>
    <row r="996" spans="2:18" ht="16.5" x14ac:dyDescent="0.3">
      <c r="B996" s="343" t="s">
        <v>1047</v>
      </c>
      <c r="C996" s="344" t="s">
        <v>1241</v>
      </c>
      <c r="D996" s="345" t="s">
        <v>1244</v>
      </c>
      <c r="E996" s="8"/>
      <c r="F996"/>
      <c r="G996"/>
      <c r="H996"/>
      <c r="I996" s="53"/>
      <c r="L996" s="26"/>
      <c r="N996" s="53"/>
      <c r="Q996" s="26"/>
      <c r="R996" s="26"/>
    </row>
    <row r="997" spans="2:18" ht="16.5" x14ac:dyDescent="0.3">
      <c r="B997" s="343" t="s">
        <v>1047</v>
      </c>
      <c r="C997" s="344" t="s">
        <v>1241</v>
      </c>
      <c r="D997" s="345" t="s">
        <v>1245</v>
      </c>
      <c r="E997" s="8"/>
      <c r="F997"/>
      <c r="G997"/>
      <c r="H997"/>
      <c r="I997" s="53"/>
      <c r="L997" s="26"/>
      <c r="N997" s="53"/>
      <c r="Q997" s="26"/>
      <c r="R997" s="26"/>
    </row>
    <row r="998" spans="2:18" ht="16.5" x14ac:dyDescent="0.3">
      <c r="B998" s="343" t="s">
        <v>1047</v>
      </c>
      <c r="C998" s="344" t="s">
        <v>1241</v>
      </c>
      <c r="D998" s="345" t="s">
        <v>1246</v>
      </c>
      <c r="E998" s="8"/>
      <c r="F998"/>
      <c r="G998"/>
      <c r="H998"/>
      <c r="I998" s="53"/>
      <c r="L998" s="26"/>
      <c r="N998" s="53"/>
      <c r="Q998" s="26"/>
      <c r="R998" s="26"/>
    </row>
    <row r="999" spans="2:18" ht="16.5" x14ac:dyDescent="0.3">
      <c r="B999" s="343" t="s">
        <v>1047</v>
      </c>
      <c r="C999" s="344" t="s">
        <v>1241</v>
      </c>
      <c r="D999" s="345" t="s">
        <v>1247</v>
      </c>
      <c r="E999" s="8"/>
      <c r="F999"/>
      <c r="G999"/>
      <c r="H999"/>
      <c r="I999" s="53"/>
      <c r="L999" s="26"/>
      <c r="N999" s="53"/>
      <c r="Q999" s="26"/>
      <c r="R999" s="26"/>
    </row>
  </sheetData>
  <mergeCells count="1">
    <mergeCell ref="B8:D8"/>
  </mergeCells>
  <phoneticPr fontId="2" type="noConversion"/>
  <conditionalFormatting sqref="B21">
    <cfRule type="duplicateValues" dxfId="64" priority="24"/>
    <cfRule type="duplicateValues" dxfId="63" priority="25"/>
    <cfRule type="duplicateValues" dxfId="62" priority="26"/>
  </conditionalFormatting>
  <conditionalFormatting sqref="C1:C7 C14:C19 C9:C12">
    <cfRule type="duplicateValues" dxfId="61" priority="34"/>
  </conditionalFormatting>
  <conditionalFormatting sqref="C13">
    <cfRule type="duplicateValues" dxfId="60" priority="28"/>
  </conditionalFormatting>
  <conditionalFormatting sqref="C20">
    <cfRule type="duplicateValues" dxfId="59" priority="30"/>
    <cfRule type="duplicateValues" dxfId="58" priority="31"/>
    <cfRule type="duplicateValues" dxfId="57" priority="32"/>
    <cfRule type="duplicateValues" dxfId="56" priority="33"/>
  </conditionalFormatting>
  <conditionalFormatting sqref="D20">
    <cfRule type="duplicateValues" dxfId="55" priority="29"/>
  </conditionalFormatting>
  <conditionalFormatting sqref="D21">
    <cfRule type="duplicateValues" dxfId="54" priority="23"/>
    <cfRule type="duplicateValues" dxfId="53" priority="27"/>
    <cfRule type="duplicateValues" dxfId="52" priority="35"/>
  </conditionalFormatting>
  <conditionalFormatting sqref="D22:D71">
    <cfRule type="duplicateValues" dxfId="51" priority="22"/>
  </conditionalFormatting>
  <conditionalFormatting sqref="D72:D121">
    <cfRule type="duplicateValues" dxfId="50" priority="21"/>
  </conditionalFormatting>
  <conditionalFormatting sqref="D122:D171">
    <cfRule type="duplicateValues" dxfId="49" priority="20"/>
  </conditionalFormatting>
  <conditionalFormatting sqref="D172:D221">
    <cfRule type="duplicateValues" dxfId="48" priority="19"/>
  </conditionalFormatting>
  <conditionalFormatting sqref="D222:D271">
    <cfRule type="duplicateValues" dxfId="47" priority="18"/>
  </conditionalFormatting>
  <conditionalFormatting sqref="D272:D321">
    <cfRule type="duplicateValues" dxfId="46" priority="17"/>
  </conditionalFormatting>
  <conditionalFormatting sqref="D322:D371">
    <cfRule type="duplicateValues" dxfId="45" priority="16"/>
  </conditionalFormatting>
  <conditionalFormatting sqref="D372:D421">
    <cfRule type="duplicateValues" dxfId="44" priority="15"/>
  </conditionalFormatting>
  <conditionalFormatting sqref="D422:D471">
    <cfRule type="duplicateValues" dxfId="43" priority="14"/>
  </conditionalFormatting>
  <conditionalFormatting sqref="D472:D521">
    <cfRule type="duplicateValues" dxfId="42" priority="13"/>
  </conditionalFormatting>
  <conditionalFormatting sqref="D522:D571">
    <cfRule type="duplicateValues" dxfId="41" priority="12"/>
  </conditionalFormatting>
  <conditionalFormatting sqref="D572:D621">
    <cfRule type="duplicateValues" dxfId="40" priority="11"/>
  </conditionalFormatting>
  <conditionalFormatting sqref="D622:D671">
    <cfRule type="duplicateValues" dxfId="39" priority="10"/>
  </conditionalFormatting>
  <conditionalFormatting sqref="D672:D721">
    <cfRule type="duplicateValues" dxfId="38" priority="9"/>
  </conditionalFormatting>
  <conditionalFormatting sqref="D722:D771">
    <cfRule type="duplicateValues" dxfId="37" priority="8"/>
  </conditionalFormatting>
  <conditionalFormatting sqref="D772:D821">
    <cfRule type="duplicateValues" dxfId="36" priority="7"/>
  </conditionalFormatting>
  <conditionalFormatting sqref="D822:D871">
    <cfRule type="duplicateValues" dxfId="35" priority="6"/>
  </conditionalFormatting>
  <conditionalFormatting sqref="D872:D921">
    <cfRule type="duplicateValues" dxfId="34" priority="5"/>
  </conditionalFormatting>
  <conditionalFormatting sqref="D922:D971">
    <cfRule type="duplicateValues" dxfId="33" priority="4"/>
  </conditionalFormatting>
  <conditionalFormatting sqref="D972:D999">
    <cfRule type="duplicateValues" dxfId="32" priority="36"/>
  </conditionalFormatting>
  <conditionalFormatting sqref="F22 H25:H41">
    <cfRule type="expression" dxfId="31" priority="3">
      <formula>$N25="구독"</formula>
    </cfRule>
  </conditionalFormatting>
  <conditionalFormatting sqref="F40:F43">
    <cfRule type="expression" dxfId="30" priority="1">
      <formula>$N43="구독"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53"/>
  <sheetViews>
    <sheetView showGridLines="0" zoomScaleNormal="100" workbookViewId="0">
      <selection activeCell="G14" sqref="G14"/>
    </sheetView>
  </sheetViews>
  <sheetFormatPr defaultColWidth="9" defaultRowHeight="13.5" x14ac:dyDescent="0.3"/>
  <cols>
    <col min="1" max="1" width="2.25" style="26" customWidth="1"/>
    <col min="2" max="2" width="20.875" style="26" customWidth="1"/>
    <col min="3" max="3" width="8.5" style="26" bestFit="1" customWidth="1"/>
    <col min="4" max="4" width="19.5" style="26" bestFit="1" customWidth="1"/>
    <col min="5" max="5" width="7.875" style="26" bestFit="1" customWidth="1"/>
    <col min="6" max="6" width="11.625" style="26" bestFit="1" customWidth="1"/>
    <col min="7" max="7" width="9" style="26"/>
    <col min="8" max="8" width="7.875" style="26" bestFit="1" customWidth="1"/>
    <col min="9" max="9" width="15.375" style="26" bestFit="1" customWidth="1"/>
    <col min="10" max="10" width="5" style="26" bestFit="1" customWidth="1"/>
    <col min="11" max="16384" width="9" style="26"/>
  </cols>
  <sheetData>
    <row r="1" spans="2:22" x14ac:dyDescent="0.3">
      <c r="B1" s="15" t="s">
        <v>42</v>
      </c>
      <c r="C1" s="52"/>
      <c r="D1" s="53"/>
      <c r="E1" s="54"/>
      <c r="F1" s="53"/>
    </row>
    <row r="2" spans="2:22" ht="32.25" customHeight="1" x14ac:dyDescent="0.3">
      <c r="B2" s="55" t="s">
        <v>1413</v>
      </c>
      <c r="C2" s="56"/>
      <c r="D2" s="57"/>
      <c r="E2" s="56"/>
      <c r="F2" s="53"/>
    </row>
    <row r="3" spans="2:22" ht="4.5" customHeight="1" x14ac:dyDescent="0.3">
      <c r="B3" s="57" t="s">
        <v>11</v>
      </c>
      <c r="C3" s="56"/>
      <c r="D3" s="57"/>
      <c r="E3" s="56"/>
      <c r="F3" s="53"/>
    </row>
    <row r="4" spans="2:22" x14ac:dyDescent="0.3">
      <c r="B4" s="55" t="s">
        <v>1412</v>
      </c>
      <c r="C4" s="56"/>
      <c r="D4" s="57"/>
      <c r="E4" s="56"/>
      <c r="F4" s="53"/>
    </row>
    <row r="5" spans="2:22" ht="6.75" customHeight="1" x14ac:dyDescent="0.3">
      <c r="B5" s="57"/>
      <c r="C5" s="56"/>
      <c r="D5" s="57"/>
      <c r="E5" s="56"/>
      <c r="F5" s="53"/>
    </row>
    <row r="6" spans="2:22" x14ac:dyDescent="0.3">
      <c r="B6" s="57" t="s">
        <v>12</v>
      </c>
      <c r="C6" s="56"/>
      <c r="D6" s="57"/>
      <c r="E6" s="56"/>
      <c r="F6" s="53"/>
    </row>
    <row r="7" spans="2:22" x14ac:dyDescent="0.3">
      <c r="B7" s="57" t="s">
        <v>43</v>
      </c>
      <c r="C7" s="56"/>
      <c r="D7" s="57"/>
      <c r="E7" s="56"/>
      <c r="F7" s="53"/>
    </row>
    <row r="8" spans="2:22" x14ac:dyDescent="0.3">
      <c r="B8" s="57" t="s">
        <v>44</v>
      </c>
      <c r="C8" s="58"/>
      <c r="D8" s="57"/>
      <c r="E8" s="56"/>
      <c r="F8" s="53"/>
    </row>
    <row r="9" spans="2:22" x14ac:dyDescent="0.3">
      <c r="B9" s="57" t="s">
        <v>45</v>
      </c>
      <c r="C9" s="56"/>
      <c r="D9" s="57"/>
      <c r="E9" s="56"/>
      <c r="F9" s="53"/>
    </row>
    <row r="10" spans="2:22" x14ac:dyDescent="0.3">
      <c r="B10" s="59" t="s">
        <v>46</v>
      </c>
      <c r="C10" s="56"/>
      <c r="D10" s="57"/>
      <c r="E10" s="56"/>
      <c r="F10" s="53"/>
    </row>
    <row r="11" spans="2:22" ht="6.75" customHeight="1" x14ac:dyDescent="0.3">
      <c r="B11" s="59"/>
      <c r="C11" s="56"/>
      <c r="D11" s="57"/>
      <c r="E11" s="56"/>
      <c r="F11" s="53"/>
    </row>
    <row r="12" spans="2:22" s="53" customFormat="1" x14ac:dyDescent="0.3">
      <c r="B12" s="57" t="s">
        <v>13</v>
      </c>
      <c r="C12" s="56"/>
      <c r="D12" s="57"/>
      <c r="E12" s="5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2:22" s="53" customFormat="1" x14ac:dyDescent="0.3">
      <c r="B13" s="57" t="s">
        <v>50</v>
      </c>
      <c r="C13" s="56"/>
      <c r="D13" s="57"/>
      <c r="E13" s="5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2:22" s="53" customFormat="1" x14ac:dyDescent="0.3">
      <c r="B14" s="15" t="s">
        <v>21</v>
      </c>
      <c r="C14" s="56"/>
      <c r="D14" s="57"/>
      <c r="E14" s="56"/>
      <c r="G14" s="26"/>
      <c r="H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2:22" s="53" customFormat="1" x14ac:dyDescent="0.3">
      <c r="B15" s="15" t="s">
        <v>51</v>
      </c>
      <c r="C15" s="56"/>
      <c r="D15" s="57"/>
      <c r="E15" s="56"/>
      <c r="G15" s="26"/>
      <c r="H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7" spans="2:10" x14ac:dyDescent="0.3">
      <c r="B17" s="60" t="s">
        <v>52</v>
      </c>
      <c r="D17" s="53"/>
      <c r="E17" s="53"/>
      <c r="F17" s="53"/>
      <c r="G17" s="53"/>
      <c r="H17" s="53"/>
      <c r="J17" s="53"/>
    </row>
    <row r="18" spans="2:10" x14ac:dyDescent="0.3">
      <c r="B18" s="447" t="s">
        <v>48</v>
      </c>
      <c r="C18" s="447"/>
      <c r="D18" s="447" t="s">
        <v>53</v>
      </c>
      <c r="E18" s="447"/>
      <c r="G18" s="53"/>
      <c r="H18" s="53"/>
      <c r="I18" s="53"/>
    </row>
    <row r="19" spans="2:10" x14ac:dyDescent="0.3">
      <c r="B19" s="29" t="s">
        <v>4</v>
      </c>
      <c r="C19" s="30" t="s">
        <v>10</v>
      </c>
      <c r="D19" s="29" t="s">
        <v>4</v>
      </c>
      <c r="E19" s="30" t="s">
        <v>10</v>
      </c>
      <c r="G19" s="53"/>
      <c r="H19" s="53"/>
      <c r="I19" s="53"/>
    </row>
    <row r="20" spans="2:10" x14ac:dyDescent="0.3">
      <c r="B20" s="39" t="s">
        <v>61</v>
      </c>
      <c r="C20" s="24">
        <v>30000</v>
      </c>
      <c r="D20" s="39" t="s">
        <v>309</v>
      </c>
      <c r="E20" s="24">
        <v>30000</v>
      </c>
      <c r="F20" s="27"/>
      <c r="G20" s="53"/>
      <c r="H20" s="53"/>
      <c r="I20" s="53"/>
      <c r="J20" s="27"/>
    </row>
    <row r="21" spans="2:10" x14ac:dyDescent="0.3">
      <c r="B21" s="39" t="s">
        <v>62</v>
      </c>
      <c r="C21" s="24">
        <v>30000</v>
      </c>
      <c r="D21" s="39" t="s">
        <v>310</v>
      </c>
      <c r="E21" s="24">
        <v>30000</v>
      </c>
      <c r="G21" s="53"/>
      <c r="H21" s="53"/>
      <c r="I21" s="53"/>
      <c r="J21" s="27"/>
    </row>
    <row r="22" spans="2:10" x14ac:dyDescent="0.3">
      <c r="B22" s="39" t="s">
        <v>63</v>
      </c>
      <c r="C22" s="24">
        <v>30000</v>
      </c>
      <c r="D22" s="39" t="s">
        <v>311</v>
      </c>
      <c r="E22" s="24">
        <v>30000</v>
      </c>
      <c r="G22" s="53"/>
      <c r="H22" s="53"/>
      <c r="I22" s="53"/>
      <c r="J22" s="27"/>
    </row>
    <row r="23" spans="2:10" x14ac:dyDescent="0.3">
      <c r="B23" s="39" t="s">
        <v>312</v>
      </c>
      <c r="C23" s="24">
        <v>30000</v>
      </c>
      <c r="D23" s="39" t="s">
        <v>314</v>
      </c>
      <c r="E23" s="24">
        <v>30000</v>
      </c>
      <c r="G23" s="53"/>
      <c r="H23" s="53"/>
      <c r="I23" s="53"/>
      <c r="J23" s="27"/>
    </row>
    <row r="24" spans="2:10" x14ac:dyDescent="0.3">
      <c r="B24" s="39" t="s">
        <v>313</v>
      </c>
      <c r="C24" s="24">
        <v>30000</v>
      </c>
      <c r="D24" s="39" t="s">
        <v>316</v>
      </c>
      <c r="E24" s="24">
        <v>30000</v>
      </c>
      <c r="G24" s="53"/>
      <c r="H24" s="53"/>
      <c r="I24" s="53"/>
      <c r="J24" s="27"/>
    </row>
    <row r="25" spans="2:10" x14ac:dyDescent="0.3">
      <c r="B25" s="39" t="s">
        <v>315</v>
      </c>
      <c r="C25" s="24">
        <v>30000</v>
      </c>
      <c r="D25" s="39" t="s">
        <v>318</v>
      </c>
      <c r="E25" s="24">
        <v>30000</v>
      </c>
      <c r="G25" s="53"/>
      <c r="H25" s="53"/>
      <c r="I25" s="53"/>
      <c r="J25" s="27"/>
    </row>
    <row r="26" spans="2:10" x14ac:dyDescent="0.3">
      <c r="B26" s="39" t="s">
        <v>317</v>
      </c>
      <c r="C26" s="24">
        <v>30000</v>
      </c>
      <c r="D26" s="39" t="s">
        <v>320</v>
      </c>
      <c r="E26" s="24">
        <v>10000</v>
      </c>
      <c r="G26" s="53"/>
      <c r="H26" s="53"/>
      <c r="I26" s="53"/>
      <c r="J26" s="27"/>
    </row>
    <row r="27" spans="2:10" x14ac:dyDescent="0.3">
      <c r="B27" s="39" t="s">
        <v>319</v>
      </c>
      <c r="C27" s="24">
        <v>30000</v>
      </c>
      <c r="D27" s="39" t="s">
        <v>321</v>
      </c>
      <c r="E27" s="24">
        <v>10000</v>
      </c>
      <c r="G27" s="53"/>
      <c r="H27" s="53"/>
      <c r="I27" s="53"/>
      <c r="J27" s="27"/>
    </row>
    <row r="28" spans="2:10" x14ac:dyDescent="0.3">
      <c r="B28" s="39" t="s">
        <v>308</v>
      </c>
      <c r="C28" s="24">
        <v>30000</v>
      </c>
      <c r="D28" s="23" t="s">
        <v>323</v>
      </c>
      <c r="E28" s="24">
        <v>30000</v>
      </c>
      <c r="G28" s="53"/>
      <c r="H28" s="53"/>
      <c r="I28" s="53"/>
      <c r="J28" s="27"/>
    </row>
    <row r="29" spans="2:10" x14ac:dyDescent="0.3">
      <c r="B29" s="23" t="s">
        <v>322</v>
      </c>
      <c r="C29" s="24">
        <v>30000</v>
      </c>
      <c r="D29" s="23" t="s">
        <v>325</v>
      </c>
      <c r="E29" s="24">
        <v>30000</v>
      </c>
      <c r="G29" s="53"/>
      <c r="H29" s="53"/>
      <c r="I29" s="53"/>
      <c r="J29" s="27"/>
    </row>
    <row r="30" spans="2:10" x14ac:dyDescent="0.3">
      <c r="B30" s="23" t="s">
        <v>324</v>
      </c>
      <c r="C30" s="24">
        <v>30000</v>
      </c>
      <c r="D30" s="23" t="s">
        <v>328</v>
      </c>
      <c r="E30" s="24">
        <v>30000</v>
      </c>
      <c r="G30" s="53"/>
      <c r="H30" s="53"/>
      <c r="I30" s="53"/>
      <c r="J30" s="27"/>
    </row>
    <row r="31" spans="2:10" x14ac:dyDescent="0.3">
      <c r="B31" s="23" t="s">
        <v>326</v>
      </c>
      <c r="C31" s="24">
        <v>30000</v>
      </c>
      <c r="D31" s="23" t="s">
        <v>330</v>
      </c>
      <c r="E31" s="24">
        <v>30000</v>
      </c>
      <c r="G31" s="53"/>
      <c r="H31" s="53"/>
      <c r="I31" s="53"/>
      <c r="J31" s="27"/>
    </row>
    <row r="32" spans="2:10" x14ac:dyDescent="0.3">
      <c r="B32" s="23" t="s">
        <v>327</v>
      </c>
      <c r="C32" s="24">
        <v>30000</v>
      </c>
      <c r="D32" s="23" t="s">
        <v>332</v>
      </c>
      <c r="E32" s="24">
        <v>30000</v>
      </c>
      <c r="G32" s="53"/>
      <c r="H32" s="53"/>
      <c r="I32" s="53"/>
      <c r="J32" s="27"/>
    </row>
    <row r="33" spans="2:10" x14ac:dyDescent="0.3">
      <c r="B33" s="23" t="s">
        <v>329</v>
      </c>
      <c r="C33" s="24">
        <v>30000</v>
      </c>
      <c r="D33" s="23" t="s">
        <v>334</v>
      </c>
      <c r="E33" s="24">
        <v>30000</v>
      </c>
      <c r="G33" s="53"/>
      <c r="H33" s="53"/>
      <c r="I33" s="53"/>
      <c r="J33" s="27"/>
    </row>
    <row r="34" spans="2:10" x14ac:dyDescent="0.3">
      <c r="B34" s="23" t="s">
        <v>331</v>
      </c>
      <c r="C34" s="24">
        <v>30000</v>
      </c>
      <c r="D34" s="23" t="s">
        <v>336</v>
      </c>
      <c r="E34" s="24">
        <v>30000</v>
      </c>
      <c r="G34" s="53"/>
      <c r="H34" s="53"/>
      <c r="I34" s="53"/>
      <c r="J34" s="27"/>
    </row>
    <row r="35" spans="2:10" x14ac:dyDescent="0.3">
      <c r="B35" s="23" t="s">
        <v>333</v>
      </c>
      <c r="C35" s="24">
        <v>30000</v>
      </c>
      <c r="D35" s="23" t="s">
        <v>338</v>
      </c>
      <c r="E35" s="24">
        <v>30000</v>
      </c>
      <c r="G35" s="53"/>
      <c r="H35" s="53"/>
      <c r="I35" s="53"/>
      <c r="J35" s="27"/>
    </row>
    <row r="36" spans="2:10" x14ac:dyDescent="0.3">
      <c r="B36" s="23" t="s">
        <v>335</v>
      </c>
      <c r="C36" s="24">
        <v>30000</v>
      </c>
      <c r="D36" s="23" t="s">
        <v>340</v>
      </c>
      <c r="E36" s="24">
        <v>30000</v>
      </c>
      <c r="G36" s="53"/>
      <c r="H36" s="53"/>
      <c r="I36" s="53"/>
      <c r="J36" s="27"/>
    </row>
    <row r="37" spans="2:10" x14ac:dyDescent="0.3">
      <c r="B37" s="23" t="s">
        <v>337</v>
      </c>
      <c r="C37" s="24">
        <v>30000</v>
      </c>
      <c r="D37" s="23" t="s">
        <v>342</v>
      </c>
      <c r="E37" s="24">
        <v>30000</v>
      </c>
      <c r="G37" s="53"/>
      <c r="H37" s="53"/>
      <c r="I37" s="53"/>
      <c r="J37" s="27"/>
    </row>
    <row r="38" spans="2:10" x14ac:dyDescent="0.3">
      <c r="B38" s="23" t="s">
        <v>339</v>
      </c>
      <c r="C38" s="24">
        <v>30000</v>
      </c>
      <c r="D38" s="23" t="s">
        <v>344</v>
      </c>
      <c r="E38" s="24">
        <v>40000</v>
      </c>
      <c r="G38" s="53"/>
      <c r="H38" s="53"/>
      <c r="I38" s="53"/>
      <c r="J38" s="27"/>
    </row>
    <row r="39" spans="2:10" x14ac:dyDescent="0.3">
      <c r="B39" s="23" t="s">
        <v>341</v>
      </c>
      <c r="C39" s="24">
        <v>30000</v>
      </c>
      <c r="D39" s="23" t="s">
        <v>346</v>
      </c>
      <c r="E39" s="24">
        <v>40000</v>
      </c>
      <c r="G39" s="53"/>
      <c r="H39" s="53"/>
      <c r="I39" s="53"/>
      <c r="J39" s="27"/>
    </row>
    <row r="40" spans="2:10" x14ac:dyDescent="0.3">
      <c r="B40" s="23" t="s">
        <v>343</v>
      </c>
      <c r="C40" s="24">
        <v>30000</v>
      </c>
      <c r="D40" s="23" t="s">
        <v>347</v>
      </c>
      <c r="E40" s="24">
        <v>30000</v>
      </c>
      <c r="G40" s="53"/>
      <c r="H40" s="53"/>
      <c r="I40" s="53"/>
      <c r="J40" s="27"/>
    </row>
    <row r="41" spans="2:10" x14ac:dyDescent="0.3">
      <c r="B41" s="23" t="s">
        <v>345</v>
      </c>
      <c r="C41" s="24">
        <v>30000</v>
      </c>
      <c r="D41" s="23" t="s">
        <v>348</v>
      </c>
      <c r="E41" s="24">
        <v>30000</v>
      </c>
      <c r="G41" s="53"/>
      <c r="H41" s="53"/>
      <c r="I41" s="53"/>
      <c r="J41" s="27"/>
    </row>
    <row r="42" spans="2:10" x14ac:dyDescent="0.3">
      <c r="B42" s="146" t="s">
        <v>85</v>
      </c>
      <c r="C42" s="24">
        <v>30000</v>
      </c>
      <c r="D42" s="23" t="s">
        <v>350</v>
      </c>
      <c r="E42" s="24">
        <v>30000</v>
      </c>
      <c r="G42" s="53"/>
      <c r="H42" s="53"/>
      <c r="I42" s="53"/>
      <c r="J42" s="27"/>
    </row>
    <row r="43" spans="2:10" x14ac:dyDescent="0.3">
      <c r="B43" s="146" t="s">
        <v>84</v>
      </c>
      <c r="C43" s="24">
        <v>30000</v>
      </c>
      <c r="D43" s="23" t="s">
        <v>352</v>
      </c>
      <c r="E43" s="24">
        <v>30000</v>
      </c>
      <c r="G43" s="53"/>
      <c r="H43" s="53"/>
      <c r="I43" s="53"/>
      <c r="J43" s="27"/>
    </row>
    <row r="44" spans="2:10" x14ac:dyDescent="0.3">
      <c r="B44" s="61" t="s">
        <v>349</v>
      </c>
      <c r="C44" s="62">
        <v>30000</v>
      </c>
      <c r="D44" s="23" t="s">
        <v>353</v>
      </c>
      <c r="E44" s="24">
        <v>30000</v>
      </c>
      <c r="G44" s="53"/>
      <c r="H44" s="53"/>
      <c r="I44" s="53"/>
      <c r="J44" s="27"/>
    </row>
    <row r="45" spans="2:10" x14ac:dyDescent="0.3">
      <c r="B45" s="61" t="s">
        <v>351</v>
      </c>
      <c r="C45" s="62">
        <v>30000</v>
      </c>
      <c r="D45" s="23" t="s">
        <v>355</v>
      </c>
      <c r="E45" s="24">
        <v>30000</v>
      </c>
      <c r="G45" s="53"/>
      <c r="H45" s="53"/>
      <c r="I45" s="53"/>
      <c r="J45" s="27"/>
    </row>
    <row r="46" spans="2:10" x14ac:dyDescent="0.3">
      <c r="B46" s="61" t="s">
        <v>351</v>
      </c>
      <c r="C46" s="62">
        <v>30000</v>
      </c>
      <c r="D46" s="23" t="s">
        <v>356</v>
      </c>
      <c r="E46" s="24">
        <v>30000</v>
      </c>
      <c r="G46" s="53"/>
      <c r="H46" s="53"/>
      <c r="I46" s="53"/>
    </row>
    <row r="47" spans="2:10" x14ac:dyDescent="0.3">
      <c r="B47" s="61" t="s">
        <v>354</v>
      </c>
      <c r="C47" s="62">
        <v>30000</v>
      </c>
      <c r="D47" s="23" t="s">
        <v>357</v>
      </c>
      <c r="E47" s="24">
        <v>30000</v>
      </c>
      <c r="G47" s="53"/>
      <c r="H47" s="53"/>
      <c r="I47" s="53"/>
    </row>
    <row r="48" spans="2:10" x14ac:dyDescent="0.3">
      <c r="B48" s="23" t="s">
        <v>1084</v>
      </c>
      <c r="C48" s="62">
        <v>30000</v>
      </c>
      <c r="D48" s="23" t="s">
        <v>358</v>
      </c>
      <c r="E48" s="24">
        <v>30000</v>
      </c>
      <c r="G48" s="53"/>
      <c r="H48" s="53"/>
      <c r="I48" s="53"/>
    </row>
    <row r="49" spans="1:9" x14ac:dyDescent="0.3">
      <c r="B49" s="23" t="s">
        <v>1082</v>
      </c>
      <c r="C49" s="62">
        <v>30000</v>
      </c>
      <c r="D49" s="23" t="s">
        <v>359</v>
      </c>
      <c r="E49" s="24">
        <v>30000</v>
      </c>
      <c r="G49" s="53"/>
      <c r="H49" s="53"/>
      <c r="I49" s="53"/>
    </row>
    <row r="50" spans="1:9" x14ac:dyDescent="0.3">
      <c r="B50" s="146" t="s">
        <v>1085</v>
      </c>
      <c r="C50" s="62">
        <v>30000</v>
      </c>
      <c r="D50" s="23" t="s">
        <v>360</v>
      </c>
      <c r="E50" s="24">
        <v>30000</v>
      </c>
      <c r="G50" s="53"/>
      <c r="H50" s="53"/>
      <c r="I50" s="53"/>
    </row>
    <row r="51" spans="1:9" x14ac:dyDescent="0.3">
      <c r="B51" s="23" t="s">
        <v>1083</v>
      </c>
      <c r="C51" s="62">
        <v>30000</v>
      </c>
      <c r="D51" s="23" t="s">
        <v>361</v>
      </c>
      <c r="E51" s="24">
        <v>30000</v>
      </c>
      <c r="G51" s="53"/>
      <c r="H51" s="53"/>
      <c r="I51" s="53"/>
    </row>
    <row r="52" spans="1:9" x14ac:dyDescent="0.3">
      <c r="B52" s="23" t="s">
        <v>1180</v>
      </c>
      <c r="C52" s="62">
        <v>30000</v>
      </c>
      <c r="D52" s="23" t="s">
        <v>1081</v>
      </c>
      <c r="E52" s="24">
        <v>30000</v>
      </c>
      <c r="G52" s="53"/>
      <c r="H52" s="53"/>
      <c r="I52" s="53"/>
    </row>
    <row r="53" spans="1:9" x14ac:dyDescent="0.3">
      <c r="B53" s="23" t="s">
        <v>1181</v>
      </c>
      <c r="C53" s="62">
        <v>30000</v>
      </c>
      <c r="D53" s="23"/>
      <c r="E53" s="24"/>
      <c r="G53" s="53"/>
      <c r="H53" s="53"/>
      <c r="I53" s="53"/>
    </row>
    <row r="54" spans="1:9" ht="16.5" x14ac:dyDescent="0.3">
      <c r="A54"/>
      <c r="B54"/>
      <c r="C54"/>
      <c r="D54"/>
      <c r="E54"/>
      <c r="F54"/>
      <c r="G54" s="53"/>
      <c r="H54" s="53"/>
      <c r="I54" s="53"/>
    </row>
    <row r="55" spans="1:9" ht="16.5" x14ac:dyDescent="0.3">
      <c r="A55"/>
      <c r="B55"/>
      <c r="C55"/>
      <c r="D55"/>
      <c r="E55"/>
      <c r="F55"/>
      <c r="G55" s="53"/>
      <c r="H55" s="53"/>
      <c r="I55" s="53"/>
    </row>
    <row r="56" spans="1:9" ht="16.5" x14ac:dyDescent="0.3">
      <c r="B56"/>
      <c r="C56"/>
      <c r="D56"/>
      <c r="E56"/>
      <c r="G56" s="53"/>
      <c r="H56" s="53"/>
      <c r="I56" s="53"/>
    </row>
    <row r="57" spans="1:9" ht="16.5" x14ac:dyDescent="0.3">
      <c r="B57"/>
      <c r="C57"/>
      <c r="D57"/>
      <c r="E57"/>
      <c r="G57" s="53"/>
      <c r="H57" s="53"/>
      <c r="I57" s="53"/>
    </row>
    <row r="58" spans="1:9" ht="16.5" x14ac:dyDescent="0.3">
      <c r="B58"/>
      <c r="C58"/>
      <c r="D58"/>
      <c r="E58"/>
      <c r="G58" s="53"/>
      <c r="H58" s="53"/>
      <c r="I58" s="53"/>
    </row>
    <row r="59" spans="1:9" ht="16.5" x14ac:dyDescent="0.3">
      <c r="B59"/>
      <c r="C59"/>
      <c r="D59"/>
      <c r="E59"/>
      <c r="G59" s="53"/>
      <c r="H59" s="53"/>
      <c r="I59" s="53"/>
    </row>
    <row r="60" spans="1:9" ht="16.5" x14ac:dyDescent="0.3">
      <c r="B60"/>
      <c r="C60"/>
      <c r="D60"/>
      <c r="E60"/>
      <c r="G60" s="53"/>
      <c r="H60" s="53"/>
      <c r="I60" s="53"/>
    </row>
    <row r="61" spans="1:9" ht="16.5" x14ac:dyDescent="0.3">
      <c r="B61"/>
      <c r="C61"/>
      <c r="D61"/>
      <c r="E61"/>
      <c r="G61" s="53"/>
      <c r="H61" s="53"/>
      <c r="I61" s="53"/>
    </row>
    <row r="62" spans="1:9" ht="16.5" x14ac:dyDescent="0.3">
      <c r="B62"/>
      <c r="C62"/>
      <c r="D62"/>
      <c r="E62"/>
      <c r="H62" s="27"/>
    </row>
    <row r="63" spans="1:9" ht="16.5" x14ac:dyDescent="0.3">
      <c r="B63"/>
      <c r="C63"/>
      <c r="D63"/>
      <c r="E63"/>
      <c r="H63" s="27"/>
    </row>
    <row r="64" spans="1:9" ht="16.5" x14ac:dyDescent="0.3">
      <c r="B64"/>
      <c r="C64"/>
      <c r="D64"/>
      <c r="E64"/>
      <c r="H64" s="27"/>
    </row>
    <row r="65" spans="2:8" ht="16.5" x14ac:dyDescent="0.3">
      <c r="B65"/>
      <c r="C65"/>
      <c r="D65"/>
      <c r="E65"/>
      <c r="H65" s="27"/>
    </row>
    <row r="66" spans="2:8" ht="16.5" x14ac:dyDescent="0.3">
      <c r="B66"/>
      <c r="C66"/>
      <c r="D66"/>
      <c r="E66"/>
      <c r="H66" s="27"/>
    </row>
    <row r="67" spans="2:8" ht="16.5" x14ac:dyDescent="0.3">
      <c r="B67"/>
      <c r="C67"/>
      <c r="D67"/>
      <c r="E67"/>
      <c r="H67" s="27"/>
    </row>
    <row r="68" spans="2:8" ht="16.5" x14ac:dyDescent="0.3">
      <c r="B68"/>
      <c r="C68"/>
      <c r="D68"/>
      <c r="E68"/>
      <c r="H68" s="27"/>
    </row>
    <row r="69" spans="2:8" ht="16.5" x14ac:dyDescent="0.3">
      <c r="B69"/>
      <c r="C69"/>
      <c r="D69"/>
      <c r="E69"/>
      <c r="H69" s="27"/>
    </row>
    <row r="70" spans="2:8" ht="16.5" x14ac:dyDescent="0.3">
      <c r="B70"/>
      <c r="C70"/>
      <c r="D70"/>
      <c r="E70"/>
      <c r="H70" s="27"/>
    </row>
    <row r="71" spans="2:8" ht="16.5" x14ac:dyDescent="0.3">
      <c r="B71"/>
      <c r="C71"/>
      <c r="D71"/>
      <c r="E71"/>
      <c r="H71" s="27"/>
    </row>
    <row r="72" spans="2:8" ht="16.5" x14ac:dyDescent="0.3">
      <c r="B72"/>
      <c r="C72"/>
      <c r="D72"/>
      <c r="E72"/>
      <c r="H72" s="27"/>
    </row>
    <row r="73" spans="2:8" ht="16.5" x14ac:dyDescent="0.3">
      <c r="B73"/>
      <c r="C73"/>
      <c r="D73"/>
      <c r="E73"/>
      <c r="H73" s="27"/>
    </row>
    <row r="74" spans="2:8" ht="16.5" x14ac:dyDescent="0.3">
      <c r="B74"/>
      <c r="C74"/>
      <c r="D74"/>
      <c r="E74"/>
      <c r="H74" s="27"/>
    </row>
    <row r="75" spans="2:8" ht="16.5" x14ac:dyDescent="0.3">
      <c r="B75"/>
      <c r="C75"/>
      <c r="D75"/>
      <c r="E75"/>
      <c r="H75" s="27"/>
    </row>
    <row r="76" spans="2:8" ht="16.5" x14ac:dyDescent="0.3">
      <c r="B76"/>
      <c r="C76"/>
      <c r="D76"/>
      <c r="E76"/>
      <c r="H76" s="27"/>
    </row>
    <row r="77" spans="2:8" ht="16.5" x14ac:dyDescent="0.3">
      <c r="B77"/>
      <c r="C77"/>
      <c r="D77"/>
      <c r="E77"/>
      <c r="H77" s="27"/>
    </row>
    <row r="78" spans="2:8" ht="16.5" x14ac:dyDescent="0.3">
      <c r="B78"/>
      <c r="C78"/>
      <c r="D78"/>
      <c r="E78"/>
      <c r="H78" s="27"/>
    </row>
    <row r="79" spans="2:8" ht="16.5" x14ac:dyDescent="0.3">
      <c r="B79"/>
      <c r="C79"/>
      <c r="D79"/>
      <c r="E79"/>
      <c r="H79" s="27"/>
    </row>
    <row r="80" spans="2:8" ht="16.5" x14ac:dyDescent="0.3">
      <c r="B80"/>
      <c r="C80"/>
      <c r="D80"/>
      <c r="E80"/>
      <c r="H80" s="27"/>
    </row>
    <row r="81" spans="2:8" ht="16.5" x14ac:dyDescent="0.3">
      <c r="B81"/>
      <c r="C81"/>
      <c r="D81"/>
      <c r="E81"/>
      <c r="H81" s="27"/>
    </row>
    <row r="82" spans="2:8" ht="16.5" x14ac:dyDescent="0.3">
      <c r="B82"/>
      <c r="C82"/>
      <c r="D82"/>
      <c r="E82"/>
      <c r="H82" s="27"/>
    </row>
    <row r="83" spans="2:8" ht="16.5" x14ac:dyDescent="0.3">
      <c r="B83"/>
      <c r="C83"/>
      <c r="D83"/>
      <c r="E83"/>
      <c r="H83" s="27"/>
    </row>
    <row r="84" spans="2:8" ht="16.5" x14ac:dyDescent="0.3">
      <c r="B84"/>
      <c r="C84"/>
      <c r="D84"/>
      <c r="E84"/>
      <c r="H84" s="27"/>
    </row>
    <row r="85" spans="2:8" ht="16.5" x14ac:dyDescent="0.3">
      <c r="B85"/>
      <c r="C85"/>
      <c r="D85"/>
      <c r="E85"/>
      <c r="H85" s="27"/>
    </row>
    <row r="86" spans="2:8" ht="16.5" x14ac:dyDescent="0.3">
      <c r="B86"/>
      <c r="C86"/>
      <c r="D86"/>
      <c r="E86"/>
      <c r="H86" s="27"/>
    </row>
    <row r="87" spans="2:8" ht="16.5" x14ac:dyDescent="0.3">
      <c r="B87"/>
      <c r="C87"/>
      <c r="D87"/>
      <c r="E87"/>
      <c r="H87" s="27"/>
    </row>
    <row r="88" spans="2:8" ht="16.5" x14ac:dyDescent="0.3">
      <c r="B88"/>
      <c r="C88"/>
      <c r="D88"/>
      <c r="E88"/>
      <c r="H88" s="27"/>
    </row>
    <row r="89" spans="2:8" ht="16.5" x14ac:dyDescent="0.3">
      <c r="B89"/>
      <c r="C89"/>
      <c r="D89"/>
      <c r="E89"/>
      <c r="H89" s="27"/>
    </row>
    <row r="90" spans="2:8" ht="16.5" x14ac:dyDescent="0.3">
      <c r="B90"/>
      <c r="C90"/>
      <c r="D90"/>
      <c r="E90"/>
      <c r="H90" s="27"/>
    </row>
    <row r="91" spans="2:8" ht="16.5" x14ac:dyDescent="0.3">
      <c r="B91"/>
      <c r="C91"/>
      <c r="D91"/>
      <c r="E91"/>
      <c r="H91" s="27"/>
    </row>
    <row r="92" spans="2:8" ht="16.5" x14ac:dyDescent="0.3">
      <c r="B92"/>
      <c r="C92"/>
      <c r="D92"/>
      <c r="E92"/>
      <c r="H92" s="27"/>
    </row>
    <row r="93" spans="2:8" ht="16.5" x14ac:dyDescent="0.3">
      <c r="B93"/>
      <c r="C93"/>
      <c r="D93"/>
      <c r="E93"/>
      <c r="H93" s="27"/>
    </row>
    <row r="94" spans="2:8" ht="16.5" x14ac:dyDescent="0.3">
      <c r="B94"/>
      <c r="C94"/>
      <c r="D94"/>
      <c r="E94"/>
      <c r="H94" s="27"/>
    </row>
    <row r="95" spans="2:8" ht="16.5" x14ac:dyDescent="0.3">
      <c r="B95"/>
      <c r="C95"/>
      <c r="D95"/>
      <c r="E95"/>
      <c r="H95" s="27"/>
    </row>
    <row r="96" spans="2:8" ht="16.5" x14ac:dyDescent="0.3">
      <c r="B96"/>
      <c r="C96"/>
      <c r="D96"/>
      <c r="E96"/>
      <c r="H96" s="27"/>
    </row>
    <row r="97" spans="2:8" ht="16.5" x14ac:dyDescent="0.3">
      <c r="B97"/>
      <c r="C97"/>
      <c r="D97"/>
      <c r="E97"/>
      <c r="H97" s="27"/>
    </row>
    <row r="98" spans="2:8" ht="16.5" x14ac:dyDescent="0.3">
      <c r="B98"/>
      <c r="C98"/>
      <c r="D98"/>
      <c r="E98"/>
      <c r="H98" s="27"/>
    </row>
    <row r="99" spans="2:8" ht="16.5" x14ac:dyDescent="0.3">
      <c r="B99"/>
      <c r="C99"/>
      <c r="D99"/>
      <c r="E99"/>
      <c r="H99" s="27"/>
    </row>
    <row r="100" spans="2:8" ht="16.5" x14ac:dyDescent="0.3">
      <c r="B100"/>
      <c r="C100"/>
      <c r="D100"/>
      <c r="E100"/>
      <c r="H100" s="27"/>
    </row>
    <row r="101" spans="2:8" ht="16.5" x14ac:dyDescent="0.3">
      <c r="B101"/>
      <c r="C101"/>
      <c r="D101"/>
      <c r="E101"/>
      <c r="H101" s="27"/>
    </row>
    <row r="102" spans="2:8" ht="16.5" x14ac:dyDescent="0.3">
      <c r="B102"/>
      <c r="C102"/>
      <c r="D102"/>
      <c r="E102"/>
      <c r="H102" s="27"/>
    </row>
    <row r="103" spans="2:8" ht="16.5" x14ac:dyDescent="0.3">
      <c r="B103"/>
      <c r="C103"/>
      <c r="D103"/>
      <c r="E103"/>
      <c r="H103" s="27"/>
    </row>
    <row r="104" spans="2:8" ht="16.5" x14ac:dyDescent="0.3">
      <c r="B104"/>
      <c r="C104"/>
      <c r="D104"/>
      <c r="E104"/>
      <c r="H104" s="27"/>
    </row>
    <row r="105" spans="2:8" ht="16.5" x14ac:dyDescent="0.3">
      <c r="B105"/>
      <c r="C105"/>
      <c r="D105"/>
      <c r="E105"/>
      <c r="H105" s="27"/>
    </row>
    <row r="106" spans="2:8" ht="16.5" x14ac:dyDescent="0.3">
      <c r="B106"/>
      <c r="C106"/>
      <c r="D106"/>
      <c r="E106"/>
      <c r="H106" s="27"/>
    </row>
    <row r="107" spans="2:8" ht="16.5" x14ac:dyDescent="0.3">
      <c r="B107"/>
      <c r="C107"/>
      <c r="D107"/>
      <c r="E107"/>
      <c r="H107" s="27"/>
    </row>
    <row r="108" spans="2:8" ht="16.5" x14ac:dyDescent="0.3">
      <c r="B108"/>
      <c r="C108"/>
      <c r="D108"/>
      <c r="E108"/>
      <c r="H108" s="27"/>
    </row>
    <row r="109" spans="2:8" ht="16.5" x14ac:dyDescent="0.3">
      <c r="B109"/>
      <c r="C109"/>
      <c r="D109"/>
      <c r="E109"/>
      <c r="H109" s="27"/>
    </row>
    <row r="110" spans="2:8" ht="16.5" x14ac:dyDescent="0.3">
      <c r="B110"/>
      <c r="C110"/>
      <c r="D110"/>
      <c r="E110"/>
      <c r="H110" s="27"/>
    </row>
    <row r="111" spans="2:8" ht="16.5" x14ac:dyDescent="0.3">
      <c r="B111"/>
      <c r="C111"/>
      <c r="D111"/>
      <c r="E111"/>
      <c r="H111" s="27"/>
    </row>
    <row r="112" spans="2:8" ht="16.5" x14ac:dyDescent="0.3">
      <c r="B112"/>
      <c r="C112"/>
      <c r="D112"/>
      <c r="E112"/>
      <c r="H112" s="27"/>
    </row>
    <row r="113" spans="2:8" ht="16.5" x14ac:dyDescent="0.3">
      <c r="B113"/>
      <c r="C113"/>
      <c r="D113"/>
      <c r="E113"/>
      <c r="H113" s="27"/>
    </row>
    <row r="114" spans="2:8" ht="16.5" x14ac:dyDescent="0.3">
      <c r="B114"/>
      <c r="C114"/>
      <c r="D114"/>
      <c r="E114"/>
      <c r="H114" s="27"/>
    </row>
    <row r="115" spans="2:8" ht="16.5" x14ac:dyDescent="0.3">
      <c r="B115"/>
      <c r="C115"/>
      <c r="D115"/>
      <c r="E115"/>
      <c r="H115" s="27"/>
    </row>
    <row r="116" spans="2:8" ht="16.5" x14ac:dyDescent="0.3">
      <c r="B116"/>
      <c r="C116"/>
      <c r="D116"/>
      <c r="E116"/>
      <c r="H116" s="27"/>
    </row>
    <row r="117" spans="2:8" ht="16.5" x14ac:dyDescent="0.3">
      <c r="B117"/>
      <c r="C117"/>
      <c r="D117"/>
      <c r="E117"/>
      <c r="H117" s="27"/>
    </row>
    <row r="118" spans="2:8" ht="16.5" x14ac:dyDescent="0.3">
      <c r="B118"/>
      <c r="C118"/>
      <c r="D118"/>
      <c r="E118"/>
      <c r="H118" s="27"/>
    </row>
    <row r="119" spans="2:8" ht="16.5" x14ac:dyDescent="0.3">
      <c r="B119"/>
      <c r="C119"/>
      <c r="D119"/>
      <c r="E119"/>
    </row>
    <row r="120" spans="2:8" ht="16.5" x14ac:dyDescent="0.3">
      <c r="B120"/>
      <c r="C120"/>
      <c r="D120"/>
      <c r="E120"/>
    </row>
    <row r="121" spans="2:8" ht="16.5" x14ac:dyDescent="0.3">
      <c r="B121"/>
      <c r="C121"/>
      <c r="D121"/>
      <c r="E121"/>
    </row>
    <row r="122" spans="2:8" ht="16.5" x14ac:dyDescent="0.3">
      <c r="B122"/>
      <c r="C122"/>
      <c r="D122"/>
      <c r="E122"/>
    </row>
    <row r="123" spans="2:8" ht="16.5" x14ac:dyDescent="0.3">
      <c r="B123"/>
      <c r="C123"/>
      <c r="D123"/>
      <c r="E123"/>
    </row>
    <row r="124" spans="2:8" ht="16.5" x14ac:dyDescent="0.3">
      <c r="B124"/>
      <c r="C124"/>
      <c r="D124"/>
      <c r="E124"/>
    </row>
    <row r="125" spans="2:8" ht="16.5" x14ac:dyDescent="0.3">
      <c r="B125"/>
      <c r="C125"/>
      <c r="D125"/>
      <c r="E125"/>
    </row>
    <row r="126" spans="2:8" ht="16.5" x14ac:dyDescent="0.3">
      <c r="B126"/>
      <c r="C126"/>
      <c r="D126"/>
      <c r="E126"/>
    </row>
    <row r="127" spans="2:8" ht="16.5" x14ac:dyDescent="0.3">
      <c r="B127"/>
      <c r="C127"/>
      <c r="D127"/>
      <c r="E127"/>
    </row>
    <row r="128" spans="2:8" ht="16.5" x14ac:dyDescent="0.3">
      <c r="B128"/>
      <c r="C128"/>
      <c r="D128"/>
      <c r="E128"/>
    </row>
    <row r="129" spans="2:6" ht="16.5" x14ac:dyDescent="0.3">
      <c r="B129"/>
      <c r="C129"/>
      <c r="D129"/>
      <c r="E129"/>
    </row>
    <row r="130" spans="2:6" ht="16.5" x14ac:dyDescent="0.3">
      <c r="B130"/>
      <c r="C130"/>
      <c r="D130"/>
      <c r="E130"/>
    </row>
    <row r="131" spans="2:6" ht="16.5" x14ac:dyDescent="0.3">
      <c r="B131"/>
      <c r="C131"/>
      <c r="D131"/>
      <c r="E131"/>
    </row>
    <row r="132" spans="2:6" ht="16.5" x14ac:dyDescent="0.3">
      <c r="B132"/>
      <c r="C132"/>
      <c r="D132"/>
      <c r="E132"/>
    </row>
    <row r="133" spans="2:6" ht="16.5" x14ac:dyDescent="0.3">
      <c r="B133"/>
      <c r="C133"/>
      <c r="D133"/>
      <c r="E133"/>
    </row>
    <row r="134" spans="2:6" ht="16.5" x14ac:dyDescent="0.3">
      <c r="B134"/>
      <c r="C134"/>
      <c r="D134"/>
      <c r="E134"/>
    </row>
    <row r="135" spans="2:6" ht="16.5" x14ac:dyDescent="0.3">
      <c r="B135"/>
      <c r="C135"/>
      <c r="D135"/>
      <c r="E135"/>
    </row>
    <row r="136" spans="2:6" ht="16.5" x14ac:dyDescent="0.3">
      <c r="B136"/>
      <c r="C136"/>
      <c r="D136"/>
      <c r="E136"/>
    </row>
    <row r="137" spans="2:6" ht="16.5" x14ac:dyDescent="0.3">
      <c r="B137"/>
      <c r="C137"/>
      <c r="D137"/>
      <c r="E137"/>
    </row>
    <row r="138" spans="2:6" ht="16.5" x14ac:dyDescent="0.3">
      <c r="B138"/>
      <c r="C138"/>
      <c r="D138"/>
      <c r="E138"/>
    </row>
    <row r="139" spans="2:6" ht="16.5" x14ac:dyDescent="0.3">
      <c r="B139"/>
      <c r="C139"/>
      <c r="D139"/>
      <c r="E139"/>
    </row>
    <row r="140" spans="2:6" ht="16.5" x14ac:dyDescent="0.3">
      <c r="B140"/>
      <c r="C140"/>
      <c r="D140"/>
      <c r="E140"/>
    </row>
    <row r="141" spans="2:6" ht="16.5" x14ac:dyDescent="0.3">
      <c r="B141"/>
      <c r="C141"/>
      <c r="D141"/>
      <c r="E141"/>
    </row>
    <row r="142" spans="2:6" ht="16.5" x14ac:dyDescent="0.3">
      <c r="B142"/>
      <c r="C142"/>
      <c r="D142"/>
      <c r="E142"/>
    </row>
    <row r="143" spans="2:6" ht="16.5" x14ac:dyDescent="0.3">
      <c r="B143"/>
      <c r="C143"/>
      <c r="D143"/>
      <c r="E143"/>
    </row>
    <row r="144" spans="2:6" ht="16.5" x14ac:dyDescent="0.3">
      <c r="B144"/>
      <c r="C144"/>
      <c r="D144"/>
      <c r="E144"/>
      <c r="F144"/>
    </row>
    <row r="145" spans="2:6" ht="16.5" x14ac:dyDescent="0.3">
      <c r="B145"/>
      <c r="C145"/>
      <c r="D145"/>
      <c r="E145"/>
      <c r="F145"/>
    </row>
    <row r="146" spans="2:6" ht="16.5" x14ac:dyDescent="0.3">
      <c r="B146"/>
      <c r="C146"/>
      <c r="D146"/>
      <c r="E146"/>
      <c r="F146"/>
    </row>
    <row r="147" spans="2:6" ht="16.5" x14ac:dyDescent="0.3">
      <c r="B147"/>
      <c r="C147"/>
      <c r="D147"/>
      <c r="E147"/>
      <c r="F147"/>
    </row>
    <row r="148" spans="2:6" ht="16.5" x14ac:dyDescent="0.3">
      <c r="B148"/>
      <c r="C148"/>
      <c r="D148"/>
      <c r="E148"/>
      <c r="F148"/>
    </row>
    <row r="149" spans="2:6" ht="16.5" x14ac:dyDescent="0.3">
      <c r="B149"/>
      <c r="C149"/>
      <c r="D149"/>
      <c r="E149"/>
      <c r="F149"/>
    </row>
    <row r="150" spans="2:6" ht="16.5" x14ac:dyDescent="0.3">
      <c r="B150"/>
      <c r="C150"/>
      <c r="D150"/>
      <c r="E150"/>
      <c r="F150"/>
    </row>
    <row r="151" spans="2:6" ht="16.5" x14ac:dyDescent="0.3">
      <c r="B151"/>
      <c r="C151"/>
      <c r="D151"/>
      <c r="E151"/>
      <c r="F151"/>
    </row>
    <row r="152" spans="2:6" ht="16.5" x14ac:dyDescent="0.3">
      <c r="B152"/>
      <c r="C152"/>
      <c r="D152"/>
      <c r="E152"/>
      <c r="F152"/>
    </row>
    <row r="153" spans="2:6" ht="16.5" x14ac:dyDescent="0.3">
      <c r="B153"/>
      <c r="C153"/>
      <c r="D153"/>
      <c r="E153"/>
    </row>
  </sheetData>
  <mergeCells count="2">
    <mergeCell ref="B18:C18"/>
    <mergeCell ref="D18:E18"/>
  </mergeCells>
  <phoneticPr fontId="2" type="noConversion"/>
  <conditionalFormatting sqref="B1 B154:B1048576 B18:B19">
    <cfRule type="duplicateValues" dxfId="29" priority="22"/>
  </conditionalFormatting>
  <conditionalFormatting sqref="B2:B3">
    <cfRule type="duplicateValues" dxfId="28" priority="1"/>
    <cfRule type="duplicateValues" dxfId="27" priority="2"/>
  </conditionalFormatting>
  <conditionalFormatting sqref="B5:B17">
    <cfRule type="duplicateValues" dxfId="26" priority="21"/>
  </conditionalFormatting>
  <conditionalFormatting sqref="B20:B33 B48:B51">
    <cfRule type="duplicateValues" dxfId="25" priority="24"/>
  </conditionalFormatting>
  <conditionalFormatting sqref="B34:B37">
    <cfRule type="duplicateValues" dxfId="24" priority="17"/>
    <cfRule type="duplicateValues" dxfId="23" priority="18"/>
  </conditionalFormatting>
  <conditionalFormatting sqref="B38:B41">
    <cfRule type="duplicateValues" dxfId="22" priority="15"/>
    <cfRule type="duplicateValues" dxfId="21" priority="16"/>
  </conditionalFormatting>
  <conditionalFormatting sqref="B42:B43">
    <cfRule type="duplicateValues" dxfId="20" priority="13"/>
  </conditionalFormatting>
  <conditionalFormatting sqref="B42:B45">
    <cfRule type="duplicateValues" dxfId="19" priority="14"/>
  </conditionalFormatting>
  <conditionalFormatting sqref="B44">
    <cfRule type="duplicateValues" dxfId="18" priority="12"/>
  </conditionalFormatting>
  <conditionalFormatting sqref="B45">
    <cfRule type="duplicateValues" dxfId="17" priority="11"/>
  </conditionalFormatting>
  <conditionalFormatting sqref="B46">
    <cfRule type="duplicateValues" dxfId="16" priority="10"/>
  </conditionalFormatting>
  <conditionalFormatting sqref="B46:B47">
    <cfRule type="duplicateValues" dxfId="15" priority="8"/>
  </conditionalFormatting>
  <conditionalFormatting sqref="B47">
    <cfRule type="duplicateValues" dxfId="14" priority="9"/>
  </conditionalFormatting>
  <conditionalFormatting sqref="B52:B53">
    <cfRule type="duplicateValues" dxfId="13" priority="5"/>
  </conditionalFormatting>
  <conditionalFormatting sqref="B54">
    <cfRule type="duplicateValues" dxfId="12" priority="4"/>
  </conditionalFormatting>
  <conditionalFormatting sqref="F1:F1048576 F18:G58 A54:F55 D1:D1048576">
    <cfRule type="duplicateValues" dxfId="11" priority="3"/>
  </conditionalFormatting>
  <conditionalFormatting sqref="H20:H52 D20:D54">
    <cfRule type="duplicateValues" dxfId="10" priority="7"/>
  </conditionalFormatting>
  <conditionalFormatting sqref="I1:I13 I18:I19 H14:H17 I24:I1048576">
    <cfRule type="duplicateValues" dxfId="9" priority="2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39997558519241921"/>
  </sheetPr>
  <dimension ref="B2:T122"/>
  <sheetViews>
    <sheetView showGridLines="0" zoomScaleNormal="100" workbookViewId="0">
      <pane xSplit="10" ySplit="4" topLeftCell="K69" activePane="bottomRight" state="frozen"/>
      <selection activeCell="U28" sqref="U28"/>
      <selection pane="topRight" activeCell="U28" sqref="U28"/>
      <selection pane="bottomLeft" activeCell="U28" sqref="U28"/>
      <selection pane="bottomRight" activeCell="M97" sqref="M97"/>
    </sheetView>
  </sheetViews>
  <sheetFormatPr defaultColWidth="9" defaultRowHeight="13.5" x14ac:dyDescent="0.3"/>
  <cols>
    <col min="1" max="1" width="3.625" style="4" customWidth="1"/>
    <col min="2" max="2" width="16.375" style="3" customWidth="1"/>
    <col min="3" max="3" width="25.75" style="3" customWidth="1"/>
    <col min="4" max="4" width="15.375" style="3" bestFit="1" customWidth="1"/>
    <col min="5" max="5" width="9.25" style="4" bestFit="1" customWidth="1"/>
    <col min="6" max="6" width="15.25" style="3" bestFit="1" customWidth="1"/>
    <col min="7" max="7" width="9.25" style="3" bestFit="1" customWidth="1"/>
    <col min="8" max="8" width="9.25" style="3" customWidth="1"/>
    <col min="9" max="9" width="17.75" style="26" customWidth="1"/>
    <col min="10" max="11" width="20.5" style="26" customWidth="1"/>
    <col min="12" max="12" width="12.375" style="26" customWidth="1"/>
    <col min="13" max="13" width="9" style="4"/>
    <col min="14" max="14" width="14.875" style="4" bestFit="1" customWidth="1"/>
    <col min="15" max="15" width="15" style="4" bestFit="1" customWidth="1"/>
    <col min="16" max="16" width="10.25" style="4" bestFit="1" customWidth="1"/>
    <col min="17" max="16384" width="9" style="4"/>
  </cols>
  <sheetData>
    <row r="2" spans="2:14" ht="31.5" x14ac:dyDescent="0.3">
      <c r="B2" s="13" t="s">
        <v>1414</v>
      </c>
      <c r="C2" s="14"/>
      <c r="D2" s="14"/>
      <c r="E2" s="14"/>
      <c r="F2" s="7" t="s">
        <v>0</v>
      </c>
    </row>
    <row r="3" spans="2:14" x14ac:dyDescent="0.3">
      <c r="B3" s="14"/>
      <c r="C3" s="14"/>
      <c r="D3" s="14"/>
      <c r="E3" s="14"/>
      <c r="F3" s="14"/>
    </row>
    <row r="4" spans="2:14" x14ac:dyDescent="0.3">
      <c r="B4" s="346" t="s">
        <v>1417</v>
      </c>
      <c r="C4" s="346"/>
      <c r="D4" s="14"/>
      <c r="E4" s="14"/>
      <c r="F4" s="15"/>
      <c r="I4" s="25" t="s">
        <v>3</v>
      </c>
      <c r="J4" s="28" t="s">
        <v>29</v>
      </c>
      <c r="K4" s="25" t="s">
        <v>4</v>
      </c>
      <c r="L4" s="25" t="s">
        <v>10</v>
      </c>
    </row>
    <row r="5" spans="2:14" x14ac:dyDescent="0.3">
      <c r="B5" s="17"/>
      <c r="C5" s="14"/>
      <c r="D5" s="14"/>
      <c r="E5" s="14"/>
      <c r="F5" s="14"/>
      <c r="I5" s="334" t="s">
        <v>6</v>
      </c>
      <c r="J5" s="31" t="s">
        <v>80</v>
      </c>
      <c r="K5" s="334" t="s">
        <v>277</v>
      </c>
      <c r="L5" s="31">
        <v>200000</v>
      </c>
    </row>
    <row r="6" spans="2:14" x14ac:dyDescent="0.3">
      <c r="B6" s="14" t="s">
        <v>12</v>
      </c>
      <c r="C6" s="14"/>
      <c r="D6" s="14"/>
      <c r="E6" s="14"/>
      <c r="F6" s="14"/>
      <c r="I6" s="334" t="s">
        <v>6</v>
      </c>
      <c r="J6" s="31" t="s">
        <v>81</v>
      </c>
      <c r="K6" s="334" t="s">
        <v>278</v>
      </c>
      <c r="L6" s="31">
        <v>250000</v>
      </c>
    </row>
    <row r="7" spans="2:14" x14ac:dyDescent="0.3">
      <c r="B7" s="17" t="s">
        <v>1418</v>
      </c>
      <c r="C7" s="14"/>
      <c r="D7" s="14"/>
      <c r="E7" s="14"/>
      <c r="F7" s="14"/>
      <c r="I7" s="334" t="s">
        <v>6</v>
      </c>
      <c r="J7" s="31" t="s">
        <v>81</v>
      </c>
      <c r="K7" s="334" t="s">
        <v>280</v>
      </c>
      <c r="L7" s="31">
        <v>250000</v>
      </c>
    </row>
    <row r="8" spans="2:14" x14ac:dyDescent="0.3">
      <c r="B8" s="18" t="s">
        <v>56</v>
      </c>
      <c r="C8" s="14"/>
      <c r="D8" s="14"/>
      <c r="E8" s="14"/>
      <c r="F8" s="14"/>
      <c r="I8" s="334" t="s">
        <v>6</v>
      </c>
      <c r="J8" s="31" t="s">
        <v>81</v>
      </c>
      <c r="K8" s="334" t="s">
        <v>282</v>
      </c>
      <c r="L8" s="31">
        <v>250000</v>
      </c>
    </row>
    <row r="9" spans="2:14" ht="15" customHeight="1" x14ac:dyDescent="0.3">
      <c r="B9" s="354"/>
      <c r="C9" s="355"/>
      <c r="D9" s="355"/>
      <c r="E9" s="355"/>
      <c r="F9" s="14"/>
      <c r="I9" s="334" t="s">
        <v>6</v>
      </c>
      <c r="J9" s="31" t="s">
        <v>82</v>
      </c>
      <c r="K9" s="334" t="s">
        <v>284</v>
      </c>
      <c r="L9" s="31">
        <v>250000</v>
      </c>
    </row>
    <row r="10" spans="2:14" s="3" customFormat="1" x14ac:dyDescent="0.3">
      <c r="B10" s="17" t="s">
        <v>13</v>
      </c>
      <c r="C10" s="14"/>
      <c r="D10" s="14"/>
      <c r="E10" s="14"/>
      <c r="F10" s="14"/>
      <c r="I10" s="334" t="s">
        <v>6</v>
      </c>
      <c r="J10" s="31" t="s">
        <v>82</v>
      </c>
      <c r="K10" s="334" t="s">
        <v>285</v>
      </c>
      <c r="L10" s="31">
        <v>250000</v>
      </c>
      <c r="M10" s="4"/>
      <c r="N10" s="4"/>
    </row>
    <row r="11" spans="2:14" s="3" customFormat="1" x14ac:dyDescent="0.3">
      <c r="B11" s="17" t="s">
        <v>55</v>
      </c>
      <c r="C11" s="14"/>
      <c r="D11" s="14"/>
      <c r="E11" s="14"/>
      <c r="F11" s="14"/>
      <c r="I11" s="334" t="s">
        <v>6</v>
      </c>
      <c r="J11" s="31" t="s">
        <v>96</v>
      </c>
      <c r="K11" s="334" t="s">
        <v>286</v>
      </c>
      <c r="L11" s="31">
        <v>250000</v>
      </c>
      <c r="M11" s="4"/>
      <c r="N11" s="4"/>
    </row>
    <row r="12" spans="2:14" s="3" customFormat="1" x14ac:dyDescent="0.3">
      <c r="B12" s="19" t="s">
        <v>21</v>
      </c>
      <c r="C12" s="14"/>
      <c r="D12" s="14"/>
      <c r="E12" s="14"/>
      <c r="F12" s="14"/>
      <c r="I12" s="334" t="s">
        <v>6</v>
      </c>
      <c r="J12" s="31" t="s">
        <v>34</v>
      </c>
      <c r="K12" s="334" t="s">
        <v>242</v>
      </c>
      <c r="L12" s="31">
        <v>30000</v>
      </c>
      <c r="M12" s="4"/>
      <c r="N12" s="4"/>
    </row>
    <row r="13" spans="2:14" s="3" customFormat="1" x14ac:dyDescent="0.3">
      <c r="B13" s="46" t="s">
        <v>23</v>
      </c>
      <c r="C13" s="47" t="s">
        <v>95</v>
      </c>
      <c r="D13" s="46" t="s">
        <v>19</v>
      </c>
      <c r="E13" s="14"/>
      <c r="F13" s="14"/>
      <c r="I13" s="150" t="s">
        <v>6</v>
      </c>
      <c r="J13" s="31" t="s">
        <v>34</v>
      </c>
      <c r="K13" s="150" t="s">
        <v>238</v>
      </c>
      <c r="L13" s="31">
        <v>30000</v>
      </c>
      <c r="M13" s="4"/>
      <c r="N13" s="4"/>
    </row>
    <row r="14" spans="2:14" s="3" customFormat="1" x14ac:dyDescent="0.3">
      <c r="B14" s="448" t="s">
        <v>6</v>
      </c>
      <c r="C14" s="49" t="s">
        <v>80</v>
      </c>
      <c r="D14" s="49" t="s">
        <v>28</v>
      </c>
      <c r="E14" s="14"/>
      <c r="F14" s="14"/>
      <c r="I14" s="150" t="s">
        <v>6</v>
      </c>
      <c r="J14" s="31" t="s">
        <v>34</v>
      </c>
      <c r="K14" s="150" t="s">
        <v>235</v>
      </c>
      <c r="L14" s="31">
        <v>30000</v>
      </c>
      <c r="M14" s="4"/>
      <c r="N14" s="4"/>
    </row>
    <row r="15" spans="2:14" s="3" customFormat="1" x14ac:dyDescent="0.3">
      <c r="B15" s="449"/>
      <c r="C15" s="50" t="s">
        <v>81</v>
      </c>
      <c r="D15" s="50" t="s">
        <v>28</v>
      </c>
      <c r="E15" s="14"/>
      <c r="F15" s="14"/>
      <c r="I15" s="150" t="s">
        <v>6</v>
      </c>
      <c r="J15" s="31" t="s">
        <v>34</v>
      </c>
      <c r="K15" s="150" t="s">
        <v>236</v>
      </c>
      <c r="L15" s="31">
        <v>30000</v>
      </c>
      <c r="M15" s="4"/>
      <c r="N15" s="4"/>
    </row>
    <row r="16" spans="2:14" s="3" customFormat="1" x14ac:dyDescent="0.3">
      <c r="B16" s="449"/>
      <c r="C16" s="50" t="s">
        <v>82</v>
      </c>
      <c r="D16" s="50" t="s">
        <v>28</v>
      </c>
      <c r="E16" s="14"/>
      <c r="F16" s="14"/>
      <c r="I16" s="150" t="s">
        <v>6</v>
      </c>
      <c r="J16" s="31" t="s">
        <v>34</v>
      </c>
      <c r="K16" s="150" t="s">
        <v>230</v>
      </c>
      <c r="L16" s="31">
        <v>30000</v>
      </c>
      <c r="M16" s="4"/>
      <c r="N16" s="4"/>
    </row>
    <row r="17" spans="2:20" s="3" customFormat="1" x14ac:dyDescent="0.3">
      <c r="B17" s="449"/>
      <c r="C17" s="50" t="s">
        <v>96</v>
      </c>
      <c r="D17" s="50" t="s">
        <v>28</v>
      </c>
      <c r="E17" s="14"/>
      <c r="F17" s="14"/>
      <c r="I17" s="150" t="s">
        <v>6</v>
      </c>
      <c r="J17" s="31" t="s">
        <v>34</v>
      </c>
      <c r="K17" s="150" t="s">
        <v>1168</v>
      </c>
      <c r="L17" s="31">
        <v>30000</v>
      </c>
      <c r="M17" s="4"/>
      <c r="N17" s="4"/>
    </row>
    <row r="18" spans="2:20" s="3" customFormat="1" x14ac:dyDescent="0.3">
      <c r="B18" s="449"/>
      <c r="C18" s="50" t="s">
        <v>34</v>
      </c>
      <c r="D18" s="50" t="s">
        <v>28</v>
      </c>
      <c r="E18" s="14"/>
      <c r="F18" s="14"/>
      <c r="I18" s="150" t="s">
        <v>6</v>
      </c>
      <c r="J18" s="31" t="s">
        <v>34</v>
      </c>
      <c r="K18" s="150" t="s">
        <v>240</v>
      </c>
      <c r="L18" s="31">
        <v>30000</v>
      </c>
      <c r="M18" s="4"/>
      <c r="N18" s="4"/>
    </row>
    <row r="19" spans="2:20" s="3" customFormat="1" x14ac:dyDescent="0.3">
      <c r="B19" s="449"/>
      <c r="C19" s="50" t="s">
        <v>33</v>
      </c>
      <c r="D19" s="50" t="s">
        <v>28</v>
      </c>
      <c r="E19" s="14"/>
      <c r="F19" s="14"/>
      <c r="I19" s="150" t="s">
        <v>6</v>
      </c>
      <c r="J19" s="31" t="s">
        <v>34</v>
      </c>
      <c r="K19" s="150" t="s">
        <v>241</v>
      </c>
      <c r="L19" s="31">
        <v>30000</v>
      </c>
      <c r="M19" s="4"/>
      <c r="N19" s="4"/>
    </row>
    <row r="20" spans="2:20" s="3" customFormat="1" x14ac:dyDescent="0.3">
      <c r="B20" s="449"/>
      <c r="C20" s="50" t="s">
        <v>97</v>
      </c>
      <c r="D20" s="50" t="s">
        <v>28</v>
      </c>
      <c r="E20" s="14"/>
      <c r="F20" s="14"/>
      <c r="I20" s="150" t="s">
        <v>6</v>
      </c>
      <c r="J20" s="31" t="s">
        <v>34</v>
      </c>
      <c r="K20" s="150" t="s">
        <v>237</v>
      </c>
      <c r="L20" s="31">
        <v>30000</v>
      </c>
      <c r="M20" s="4"/>
      <c r="N20" s="4"/>
    </row>
    <row r="21" spans="2:20" x14ac:dyDescent="0.3">
      <c r="B21" s="449"/>
      <c r="C21" s="50" t="s">
        <v>98</v>
      </c>
      <c r="D21" s="50" t="s">
        <v>28</v>
      </c>
      <c r="E21" s="14"/>
      <c r="F21" s="14"/>
      <c r="I21" s="150" t="s">
        <v>6</v>
      </c>
      <c r="J21" s="31" t="s">
        <v>34</v>
      </c>
      <c r="K21" s="150" t="s">
        <v>243</v>
      </c>
      <c r="L21" s="31">
        <v>30000</v>
      </c>
    </row>
    <row r="22" spans="2:20" x14ac:dyDescent="0.3">
      <c r="B22" s="449"/>
      <c r="C22" s="50" t="s">
        <v>35</v>
      </c>
      <c r="D22" s="50" t="s">
        <v>28</v>
      </c>
      <c r="E22" s="14"/>
      <c r="F22" s="14"/>
      <c r="I22" s="150" t="s">
        <v>6</v>
      </c>
      <c r="J22" s="31" t="s">
        <v>34</v>
      </c>
      <c r="K22" s="150" t="s">
        <v>244</v>
      </c>
      <c r="L22" s="31">
        <v>30000</v>
      </c>
    </row>
    <row r="23" spans="2:20" x14ac:dyDescent="0.3">
      <c r="B23" s="449"/>
      <c r="C23" s="50" t="s">
        <v>37</v>
      </c>
      <c r="D23" s="50" t="s">
        <v>28</v>
      </c>
      <c r="E23" s="14"/>
      <c r="F23" s="14"/>
      <c r="I23" s="150" t="s">
        <v>6</v>
      </c>
      <c r="J23" s="31" t="s">
        <v>33</v>
      </c>
      <c r="K23" s="150" t="s">
        <v>289</v>
      </c>
      <c r="L23" s="31">
        <v>50000</v>
      </c>
    </row>
    <row r="24" spans="2:20" x14ac:dyDescent="0.3">
      <c r="B24" s="449"/>
      <c r="C24" s="50" t="s">
        <v>36</v>
      </c>
      <c r="D24" s="50" t="s">
        <v>28</v>
      </c>
      <c r="E24" s="14"/>
      <c r="F24" s="14"/>
      <c r="I24" s="150" t="s">
        <v>6</v>
      </c>
      <c r="J24" s="31" t="s">
        <v>33</v>
      </c>
      <c r="K24" s="150" t="s">
        <v>290</v>
      </c>
      <c r="L24" s="31">
        <v>50000</v>
      </c>
    </row>
    <row r="25" spans="2:20" x14ac:dyDescent="0.3">
      <c r="B25" s="449"/>
      <c r="C25" s="48" t="s">
        <v>83</v>
      </c>
      <c r="D25" s="48" t="s">
        <v>28</v>
      </c>
      <c r="E25" s="14"/>
      <c r="F25" s="14"/>
      <c r="I25" s="150" t="s">
        <v>6</v>
      </c>
      <c r="J25" s="31" t="s">
        <v>33</v>
      </c>
      <c r="K25" s="150" t="s">
        <v>291</v>
      </c>
      <c r="L25" s="31">
        <v>50000</v>
      </c>
    </row>
    <row r="26" spans="2:20" s="3" customFormat="1" x14ac:dyDescent="0.3">
      <c r="B26" s="449"/>
      <c r="C26" s="50" t="s">
        <v>99</v>
      </c>
      <c r="D26" s="50" t="s">
        <v>28</v>
      </c>
      <c r="E26" s="14"/>
      <c r="F26" s="14"/>
      <c r="I26" s="150" t="s">
        <v>6</v>
      </c>
      <c r="J26" s="31" t="s">
        <v>33</v>
      </c>
      <c r="K26" s="150" t="s">
        <v>246</v>
      </c>
      <c r="L26" s="31">
        <v>50000</v>
      </c>
      <c r="M26" s="4"/>
      <c r="N26" s="4"/>
    </row>
    <row r="27" spans="2:20" s="3" customFormat="1" x14ac:dyDescent="0.3">
      <c r="B27" s="450"/>
      <c r="C27" s="51" t="s">
        <v>32</v>
      </c>
      <c r="D27" s="51" t="s">
        <v>28</v>
      </c>
      <c r="E27" s="14"/>
      <c r="F27" s="14"/>
      <c r="I27" s="150" t="s">
        <v>6</v>
      </c>
      <c r="J27" s="31" t="s">
        <v>33</v>
      </c>
      <c r="K27" s="150" t="s">
        <v>245</v>
      </c>
      <c r="L27" s="31">
        <v>50000</v>
      </c>
      <c r="M27" s="4"/>
      <c r="N27" s="4"/>
    </row>
    <row r="28" spans="2:20" s="3" customFormat="1" x14ac:dyDescent="0.3">
      <c r="B28" s="448" t="s">
        <v>24</v>
      </c>
      <c r="C28" s="49" t="s">
        <v>100</v>
      </c>
      <c r="D28" s="49" t="s">
        <v>28</v>
      </c>
      <c r="E28" s="14"/>
      <c r="F28" s="14"/>
      <c r="I28" s="150" t="s">
        <v>6</v>
      </c>
      <c r="J28" s="31" t="s">
        <v>33</v>
      </c>
      <c r="K28" s="150" t="s">
        <v>247</v>
      </c>
      <c r="L28" s="31">
        <v>50000</v>
      </c>
      <c r="M28" s="4"/>
    </row>
    <row r="29" spans="2:20" x14ac:dyDescent="0.3">
      <c r="B29" s="449"/>
      <c r="C29" s="50" t="s">
        <v>38</v>
      </c>
      <c r="D29" s="50" t="s">
        <v>28</v>
      </c>
      <c r="E29" s="14"/>
      <c r="F29" s="14"/>
      <c r="I29" s="150" t="s">
        <v>6</v>
      </c>
      <c r="J29" s="31" t="s">
        <v>35</v>
      </c>
      <c r="K29" s="150" t="s">
        <v>292</v>
      </c>
      <c r="L29" s="31">
        <v>250000</v>
      </c>
    </row>
    <row r="30" spans="2:20" x14ac:dyDescent="0.3">
      <c r="B30" s="449"/>
      <c r="C30" s="50" t="s">
        <v>88</v>
      </c>
      <c r="D30" s="50" t="s">
        <v>28</v>
      </c>
      <c r="E30" s="14"/>
      <c r="F30" s="14"/>
      <c r="I30" s="150" t="s">
        <v>6</v>
      </c>
      <c r="J30" s="31" t="s">
        <v>35</v>
      </c>
      <c r="K30" s="150" t="s">
        <v>293</v>
      </c>
      <c r="L30" s="31">
        <v>250000</v>
      </c>
    </row>
    <row r="31" spans="2:20" s="3" customFormat="1" x14ac:dyDescent="0.3">
      <c r="B31" s="449"/>
      <c r="C31" s="50" t="s">
        <v>89</v>
      </c>
      <c r="D31" s="50" t="s">
        <v>28</v>
      </c>
      <c r="E31" s="14"/>
      <c r="F31" s="14"/>
      <c r="I31" s="150" t="s">
        <v>6</v>
      </c>
      <c r="J31" s="31" t="s">
        <v>37</v>
      </c>
      <c r="K31" s="150" t="s">
        <v>294</v>
      </c>
      <c r="L31" s="31">
        <v>250000</v>
      </c>
      <c r="M31" s="4"/>
      <c r="Q31" s="4"/>
      <c r="R31" s="4"/>
      <c r="S31" s="4"/>
      <c r="T31" s="4"/>
    </row>
    <row r="32" spans="2:20" s="3" customFormat="1" x14ac:dyDescent="0.3">
      <c r="B32" s="449"/>
      <c r="C32" s="50" t="s">
        <v>40</v>
      </c>
      <c r="D32" s="50" t="s">
        <v>28</v>
      </c>
      <c r="E32" s="14"/>
      <c r="F32" s="14"/>
      <c r="I32" s="150" t="s">
        <v>6</v>
      </c>
      <c r="J32" s="31" t="s">
        <v>37</v>
      </c>
      <c r="K32" s="150" t="s">
        <v>295</v>
      </c>
      <c r="L32" s="31">
        <v>250000</v>
      </c>
      <c r="M32" s="4"/>
      <c r="Q32" s="4"/>
      <c r="R32" s="4"/>
      <c r="S32" s="4"/>
      <c r="T32" s="4"/>
    </row>
    <row r="33" spans="2:20" s="3" customFormat="1" x14ac:dyDescent="0.3">
      <c r="B33" s="450"/>
      <c r="C33" s="51" t="s">
        <v>31</v>
      </c>
      <c r="D33" s="51" t="s">
        <v>28</v>
      </c>
      <c r="E33" s="14"/>
      <c r="F33" s="14"/>
      <c r="I33" s="150" t="s">
        <v>6</v>
      </c>
      <c r="J33" s="31" t="s">
        <v>83</v>
      </c>
      <c r="K33" s="150" t="s">
        <v>297</v>
      </c>
      <c r="L33" s="31">
        <v>50000</v>
      </c>
      <c r="M33" s="4"/>
      <c r="Q33" s="4"/>
      <c r="R33" s="4"/>
      <c r="S33" s="4"/>
      <c r="T33" s="4"/>
    </row>
    <row r="34" spans="2:20" s="3" customFormat="1" x14ac:dyDescent="0.3">
      <c r="B34" s="41"/>
      <c r="C34" s="41"/>
      <c r="D34" s="41"/>
      <c r="E34" s="14"/>
      <c r="F34" s="14"/>
      <c r="I34" s="150" t="s">
        <v>6</v>
      </c>
      <c r="J34" s="31" t="s">
        <v>83</v>
      </c>
      <c r="K34" s="150" t="s">
        <v>299</v>
      </c>
      <c r="L34" s="31">
        <v>50000</v>
      </c>
      <c r="M34" s="4"/>
      <c r="Q34" s="4"/>
      <c r="R34" s="4"/>
      <c r="S34" s="4"/>
      <c r="T34" s="4"/>
    </row>
    <row r="35" spans="2:20" x14ac:dyDescent="0.3">
      <c r="B35" s="17" t="s">
        <v>14</v>
      </c>
      <c r="C35" s="14"/>
      <c r="D35" s="14"/>
      <c r="E35" s="14"/>
      <c r="F35" s="14"/>
      <c r="I35" s="150" t="s">
        <v>6</v>
      </c>
      <c r="J35" s="31" t="s">
        <v>83</v>
      </c>
      <c r="K35" s="150" t="s">
        <v>301</v>
      </c>
      <c r="L35" s="31">
        <v>50000</v>
      </c>
    </row>
    <row r="36" spans="2:20" x14ac:dyDescent="0.3">
      <c r="B36" s="19" t="s">
        <v>27</v>
      </c>
      <c r="C36" s="14"/>
      <c r="D36" s="14"/>
      <c r="E36" s="14"/>
      <c r="F36" s="14"/>
      <c r="I36" s="150" t="s">
        <v>6</v>
      </c>
      <c r="J36" s="31" t="s">
        <v>83</v>
      </c>
      <c r="K36" s="150" t="s">
        <v>302</v>
      </c>
      <c r="L36" s="31">
        <v>50000</v>
      </c>
    </row>
    <row r="37" spans="2:20" x14ac:dyDescent="0.3">
      <c r="B37" s="19" t="s">
        <v>54</v>
      </c>
      <c r="E37" s="14"/>
      <c r="F37" s="14"/>
      <c r="I37" s="150" t="s">
        <v>6</v>
      </c>
      <c r="J37" s="31" t="s">
        <v>34</v>
      </c>
      <c r="K37" s="150" t="s">
        <v>248</v>
      </c>
      <c r="L37" s="31">
        <v>30000</v>
      </c>
    </row>
    <row r="38" spans="2:20" x14ac:dyDescent="0.3">
      <c r="B38" s="19" t="s">
        <v>49</v>
      </c>
      <c r="C38" s="14"/>
      <c r="D38" s="14"/>
      <c r="E38" s="14"/>
      <c r="F38" s="14"/>
      <c r="I38" s="150" t="s">
        <v>6</v>
      </c>
      <c r="J38" s="31" t="s">
        <v>34</v>
      </c>
      <c r="K38" s="150" t="s">
        <v>249</v>
      </c>
      <c r="L38" s="31">
        <v>30000</v>
      </c>
    </row>
    <row r="39" spans="2:20" x14ac:dyDescent="0.3">
      <c r="B39" s="17" t="s">
        <v>30</v>
      </c>
      <c r="E39" s="14"/>
      <c r="F39" s="14"/>
      <c r="I39" s="150" t="s">
        <v>6</v>
      </c>
      <c r="J39" s="31" t="s">
        <v>34</v>
      </c>
      <c r="K39" s="150" t="s">
        <v>279</v>
      </c>
      <c r="L39" s="31">
        <v>30000</v>
      </c>
    </row>
    <row r="40" spans="2:20" x14ac:dyDescent="0.3">
      <c r="B40" s="4"/>
      <c r="C40" s="4"/>
      <c r="D40" s="4"/>
      <c r="E40" s="14"/>
      <c r="F40" s="14"/>
      <c r="I40" s="150" t="s">
        <v>6</v>
      </c>
      <c r="J40" s="31" t="s">
        <v>34</v>
      </c>
      <c r="K40" s="150" t="s">
        <v>281</v>
      </c>
      <c r="L40" s="31">
        <v>30000</v>
      </c>
    </row>
    <row r="41" spans="2:20" x14ac:dyDescent="0.3">
      <c r="B41" s="4"/>
      <c r="C41" s="4"/>
      <c r="D41" s="4"/>
      <c r="E41" s="14"/>
      <c r="F41" s="14"/>
      <c r="I41" s="150" t="s">
        <v>6</v>
      </c>
      <c r="J41" s="31" t="s">
        <v>34</v>
      </c>
      <c r="K41" s="150" t="s">
        <v>283</v>
      </c>
      <c r="L41" s="31">
        <v>30000</v>
      </c>
    </row>
    <row r="42" spans="2:20" x14ac:dyDescent="0.3">
      <c r="B42" s="4"/>
      <c r="C42" s="4"/>
      <c r="D42" s="4"/>
      <c r="E42" s="9"/>
      <c r="I42" s="150" t="s">
        <v>6</v>
      </c>
      <c r="J42" s="31" t="s">
        <v>34</v>
      </c>
      <c r="K42" s="150" t="s">
        <v>250</v>
      </c>
      <c r="L42" s="31">
        <v>30000</v>
      </c>
    </row>
    <row r="43" spans="2:20" x14ac:dyDescent="0.3">
      <c r="B43" s="4"/>
      <c r="C43" s="4"/>
      <c r="D43" s="4"/>
      <c r="E43" s="14"/>
      <c r="F43" s="14"/>
      <c r="G43" s="4"/>
      <c r="H43" s="4"/>
      <c r="I43" s="150" t="s">
        <v>6</v>
      </c>
      <c r="J43" s="31" t="s">
        <v>34</v>
      </c>
      <c r="K43" s="150" t="s">
        <v>251</v>
      </c>
      <c r="L43" s="31">
        <v>30000</v>
      </c>
    </row>
    <row r="44" spans="2:20" x14ac:dyDescent="0.3">
      <c r="B44" s="4"/>
      <c r="C44" s="4"/>
      <c r="D44" s="4"/>
      <c r="F44" s="4"/>
      <c r="G44" s="4"/>
      <c r="H44" s="4"/>
      <c r="I44" s="150" t="s">
        <v>6</v>
      </c>
      <c r="J44" s="31" t="s">
        <v>34</v>
      </c>
      <c r="K44" s="150" t="s">
        <v>252</v>
      </c>
      <c r="L44" s="31">
        <v>30000</v>
      </c>
    </row>
    <row r="45" spans="2:20" x14ac:dyDescent="0.3">
      <c r="B45" s="4"/>
      <c r="C45" s="4"/>
      <c r="D45" s="4"/>
      <c r="F45" s="4"/>
      <c r="G45" s="4"/>
      <c r="H45" s="4"/>
      <c r="I45" s="150" t="s">
        <v>6</v>
      </c>
      <c r="J45" s="31" t="s">
        <v>34</v>
      </c>
      <c r="K45" s="150" t="s">
        <v>253</v>
      </c>
      <c r="L45" s="31">
        <v>30000</v>
      </c>
    </row>
    <row r="46" spans="2:20" x14ac:dyDescent="0.3">
      <c r="B46" s="4"/>
      <c r="C46" s="4"/>
      <c r="D46" s="4"/>
      <c r="F46" s="4"/>
      <c r="G46" s="4"/>
      <c r="H46" s="4"/>
      <c r="I46" s="150" t="s">
        <v>6</v>
      </c>
      <c r="J46" s="31" t="s">
        <v>34</v>
      </c>
      <c r="K46" s="150" t="s">
        <v>254</v>
      </c>
      <c r="L46" s="31">
        <v>30000</v>
      </c>
    </row>
    <row r="47" spans="2:20" x14ac:dyDescent="0.3">
      <c r="B47" s="4"/>
      <c r="C47" s="4"/>
      <c r="D47" s="4"/>
      <c r="F47" s="4"/>
      <c r="G47" s="4"/>
      <c r="H47" s="4"/>
      <c r="I47" s="150" t="s">
        <v>6</v>
      </c>
      <c r="J47" s="31" t="s">
        <v>34</v>
      </c>
      <c r="K47" s="150" t="s">
        <v>255</v>
      </c>
      <c r="L47" s="31">
        <v>30000</v>
      </c>
      <c r="O47" s="153"/>
    </row>
    <row r="48" spans="2:20" x14ac:dyDescent="0.3">
      <c r="B48" s="4"/>
      <c r="C48" s="4"/>
      <c r="D48" s="4"/>
      <c r="F48" s="4"/>
      <c r="G48" s="4"/>
      <c r="H48" s="4"/>
      <c r="I48" s="150" t="s">
        <v>6</v>
      </c>
      <c r="J48" s="31" t="s">
        <v>34</v>
      </c>
      <c r="K48" s="150" t="s">
        <v>287</v>
      </c>
      <c r="L48" s="31">
        <v>30000</v>
      </c>
      <c r="O48" s="153"/>
    </row>
    <row r="49" spans="2:15" x14ac:dyDescent="0.3">
      <c r="B49" s="4"/>
      <c r="C49" s="4"/>
      <c r="D49" s="4"/>
      <c r="F49" s="4"/>
      <c r="G49" s="4"/>
      <c r="H49" s="4"/>
      <c r="I49" s="150" t="s">
        <v>6</v>
      </c>
      <c r="J49" s="31" t="s">
        <v>34</v>
      </c>
      <c r="K49" s="150" t="s">
        <v>288</v>
      </c>
      <c r="L49" s="31">
        <v>30000</v>
      </c>
      <c r="O49" s="153"/>
    </row>
    <row r="50" spans="2:15" x14ac:dyDescent="0.3">
      <c r="B50" s="4"/>
      <c r="C50" s="4"/>
      <c r="D50" s="4"/>
      <c r="F50" s="4"/>
      <c r="G50" s="4"/>
      <c r="H50" s="4"/>
      <c r="I50" s="150" t="s">
        <v>6</v>
      </c>
      <c r="J50" s="31" t="s">
        <v>34</v>
      </c>
      <c r="K50" s="150" t="s">
        <v>256</v>
      </c>
      <c r="L50" s="31">
        <v>30000</v>
      </c>
      <c r="O50" s="153"/>
    </row>
    <row r="51" spans="2:15" x14ac:dyDescent="0.3">
      <c r="B51" s="4"/>
      <c r="C51" s="4"/>
      <c r="D51" s="4"/>
      <c r="F51" s="4"/>
      <c r="G51" s="4"/>
      <c r="H51" s="4"/>
      <c r="I51" s="150" t="s">
        <v>6</v>
      </c>
      <c r="J51" s="31" t="s">
        <v>34</v>
      </c>
      <c r="K51" s="150" t="s">
        <v>257</v>
      </c>
      <c r="L51" s="31">
        <v>30000</v>
      </c>
      <c r="O51" s="153"/>
    </row>
    <row r="52" spans="2:15" x14ac:dyDescent="0.3">
      <c r="B52" s="4"/>
      <c r="C52" s="4"/>
      <c r="D52" s="4"/>
      <c r="F52" s="4"/>
      <c r="G52" s="4"/>
      <c r="H52" s="4"/>
      <c r="I52" s="150" t="s">
        <v>6</v>
      </c>
      <c r="J52" s="31" t="s">
        <v>34</v>
      </c>
      <c r="K52" s="150" t="s">
        <v>258</v>
      </c>
      <c r="L52" s="31">
        <v>30000</v>
      </c>
      <c r="O52" s="153"/>
    </row>
    <row r="53" spans="2:15" x14ac:dyDescent="0.3">
      <c r="B53" s="4"/>
      <c r="C53" s="4"/>
      <c r="D53" s="4"/>
      <c r="F53" s="4"/>
      <c r="G53" s="4"/>
      <c r="H53" s="4"/>
      <c r="I53" s="150" t="s">
        <v>6</v>
      </c>
      <c r="J53" s="31" t="s">
        <v>34</v>
      </c>
      <c r="K53" s="150" t="s">
        <v>259</v>
      </c>
      <c r="L53" s="31">
        <v>30000</v>
      </c>
    </row>
    <row r="54" spans="2:15" x14ac:dyDescent="0.3">
      <c r="B54" s="4"/>
      <c r="C54" s="4"/>
      <c r="D54" s="4"/>
      <c r="F54" s="4"/>
      <c r="G54" s="4"/>
      <c r="H54" s="4"/>
      <c r="I54" s="150" t="s">
        <v>6</v>
      </c>
      <c r="J54" s="31" t="s">
        <v>34</v>
      </c>
      <c r="K54" s="150" t="s">
        <v>260</v>
      </c>
      <c r="L54" s="31">
        <v>30000</v>
      </c>
    </row>
    <row r="55" spans="2:15" x14ac:dyDescent="0.3">
      <c r="B55" s="4"/>
      <c r="C55" s="4"/>
      <c r="D55" s="4"/>
      <c r="F55" s="4"/>
      <c r="G55" s="4"/>
      <c r="H55" s="4"/>
      <c r="I55" s="150" t="s">
        <v>6</v>
      </c>
      <c r="J55" s="31" t="s">
        <v>34</v>
      </c>
      <c r="K55" s="150" t="s">
        <v>1169</v>
      </c>
      <c r="L55" s="31">
        <v>30000</v>
      </c>
    </row>
    <row r="56" spans="2:15" x14ac:dyDescent="0.3">
      <c r="B56" s="4"/>
      <c r="C56" s="4"/>
      <c r="D56" s="4"/>
      <c r="F56" s="4"/>
      <c r="G56" s="4"/>
      <c r="H56" s="4"/>
      <c r="I56" s="150" t="s">
        <v>6</v>
      </c>
      <c r="J56" s="31" t="s">
        <v>34</v>
      </c>
      <c r="K56" s="150" t="s">
        <v>1170</v>
      </c>
      <c r="L56" s="31">
        <v>30000</v>
      </c>
    </row>
    <row r="57" spans="2:15" x14ac:dyDescent="0.3">
      <c r="B57" s="4"/>
      <c r="C57" s="4"/>
      <c r="D57" s="4"/>
      <c r="F57" s="4"/>
      <c r="G57" s="4"/>
      <c r="H57" s="4"/>
      <c r="I57" s="150" t="s">
        <v>6</v>
      </c>
      <c r="J57" s="31" t="s">
        <v>34</v>
      </c>
      <c r="K57" s="150" t="s">
        <v>1171</v>
      </c>
      <c r="L57" s="31">
        <v>30000</v>
      </c>
    </row>
    <row r="58" spans="2:15" x14ac:dyDescent="0.3">
      <c r="B58" s="4"/>
      <c r="C58" s="4"/>
      <c r="D58" s="4"/>
      <c r="F58" s="4"/>
      <c r="G58" s="4"/>
      <c r="H58" s="4"/>
      <c r="I58" s="150" t="s">
        <v>6</v>
      </c>
      <c r="J58" s="31" t="s">
        <v>34</v>
      </c>
      <c r="K58" s="150" t="s">
        <v>1172</v>
      </c>
      <c r="L58" s="31">
        <v>30000</v>
      </c>
    </row>
    <row r="59" spans="2:15" x14ac:dyDescent="0.3">
      <c r="B59" s="4"/>
      <c r="C59" s="4"/>
      <c r="D59" s="4"/>
      <c r="F59" s="4"/>
      <c r="G59" s="4"/>
      <c r="H59" s="4"/>
      <c r="I59" s="150" t="s">
        <v>6</v>
      </c>
      <c r="J59" s="31" t="s">
        <v>34</v>
      </c>
      <c r="K59" s="150" t="s">
        <v>1173</v>
      </c>
      <c r="L59" s="31">
        <v>30000</v>
      </c>
    </row>
    <row r="60" spans="2:15" x14ac:dyDescent="0.3">
      <c r="B60" s="4"/>
      <c r="C60" s="4"/>
      <c r="D60" s="4"/>
      <c r="F60" s="4"/>
      <c r="G60" s="4"/>
      <c r="H60" s="4"/>
      <c r="I60" s="150" t="s">
        <v>6</v>
      </c>
      <c r="J60" s="31" t="s">
        <v>34</v>
      </c>
      <c r="K60" s="150" t="s">
        <v>1174</v>
      </c>
      <c r="L60" s="31">
        <v>30000</v>
      </c>
    </row>
    <row r="61" spans="2:15" x14ac:dyDescent="0.3">
      <c r="B61" s="4"/>
      <c r="C61" s="4"/>
      <c r="D61" s="4"/>
      <c r="F61" s="4"/>
      <c r="G61" s="4"/>
      <c r="H61" s="4"/>
      <c r="I61" s="150" t="s">
        <v>6</v>
      </c>
      <c r="J61" s="31" t="s">
        <v>34</v>
      </c>
      <c r="K61" s="150" t="s">
        <v>1175</v>
      </c>
      <c r="L61" s="31">
        <v>30000</v>
      </c>
    </row>
    <row r="62" spans="2:15" x14ac:dyDescent="0.3">
      <c r="B62" s="4"/>
      <c r="C62" s="4"/>
      <c r="D62" s="4"/>
      <c r="F62" s="4"/>
      <c r="G62" s="4"/>
      <c r="H62" s="4"/>
      <c r="I62" s="150" t="s">
        <v>6</v>
      </c>
      <c r="J62" s="31" t="s">
        <v>33</v>
      </c>
      <c r="K62" s="150" t="s">
        <v>261</v>
      </c>
      <c r="L62" s="31">
        <v>100000</v>
      </c>
    </row>
    <row r="63" spans="2:15" x14ac:dyDescent="0.3">
      <c r="B63" s="4"/>
      <c r="C63" s="4"/>
      <c r="D63" s="4"/>
      <c r="F63" s="4"/>
      <c r="G63" s="4"/>
      <c r="H63" s="4"/>
      <c r="I63" s="150" t="s">
        <v>6</v>
      </c>
      <c r="J63" s="31" t="s">
        <v>33</v>
      </c>
      <c r="K63" s="150" t="s">
        <v>296</v>
      </c>
      <c r="L63" s="31">
        <v>100000</v>
      </c>
    </row>
    <row r="64" spans="2:15" x14ac:dyDescent="0.3">
      <c r="B64" s="4"/>
      <c r="C64" s="4"/>
      <c r="D64" s="4"/>
      <c r="F64" s="4"/>
      <c r="G64" s="4"/>
      <c r="H64" s="4"/>
      <c r="I64" s="150" t="s">
        <v>6</v>
      </c>
      <c r="J64" s="31" t="s">
        <v>33</v>
      </c>
      <c r="K64" s="150" t="s">
        <v>298</v>
      </c>
      <c r="L64" s="31">
        <v>100000</v>
      </c>
    </row>
    <row r="65" spans="2:13" x14ac:dyDescent="0.3">
      <c r="B65" s="4"/>
      <c r="C65" s="4"/>
      <c r="D65" s="4"/>
      <c r="F65" s="4"/>
      <c r="G65" s="4"/>
      <c r="H65" s="4"/>
      <c r="I65" s="150" t="s">
        <v>6</v>
      </c>
      <c r="J65" s="31" t="s">
        <v>33</v>
      </c>
      <c r="K65" s="150" t="s">
        <v>300</v>
      </c>
      <c r="L65" s="31">
        <v>100000</v>
      </c>
    </row>
    <row r="66" spans="2:13" x14ac:dyDescent="0.3">
      <c r="B66" s="4"/>
      <c r="C66" s="4"/>
      <c r="D66" s="4"/>
      <c r="F66" s="4"/>
      <c r="G66" s="4"/>
      <c r="H66" s="4"/>
      <c r="I66" s="150" t="s">
        <v>6</v>
      </c>
      <c r="J66" s="31" t="s">
        <v>33</v>
      </c>
      <c r="K66" s="150" t="s">
        <v>262</v>
      </c>
      <c r="L66" s="31">
        <v>100000</v>
      </c>
    </row>
    <row r="67" spans="2:13" x14ac:dyDescent="0.3">
      <c r="B67" s="4"/>
      <c r="C67" s="4"/>
      <c r="D67" s="4"/>
      <c r="F67" s="4"/>
      <c r="G67" s="4"/>
      <c r="H67" s="4"/>
      <c r="I67" s="150" t="s">
        <v>6</v>
      </c>
      <c r="J67" s="31" t="s">
        <v>33</v>
      </c>
      <c r="K67" s="150" t="s">
        <v>263</v>
      </c>
      <c r="L67" s="31">
        <v>100000</v>
      </c>
    </row>
    <row r="68" spans="2:13" x14ac:dyDescent="0.3">
      <c r="B68" s="4"/>
      <c r="C68" s="4"/>
      <c r="D68" s="4"/>
      <c r="F68" s="4"/>
      <c r="G68" s="4"/>
      <c r="H68" s="4"/>
      <c r="I68" s="150" t="s">
        <v>6</v>
      </c>
      <c r="J68" s="31" t="s">
        <v>33</v>
      </c>
      <c r="K68" s="150" t="s">
        <v>264</v>
      </c>
      <c r="L68" s="31">
        <v>100000</v>
      </c>
    </row>
    <row r="69" spans="2:13" x14ac:dyDescent="0.3">
      <c r="B69" s="4"/>
      <c r="C69" s="4"/>
      <c r="D69" s="4"/>
      <c r="F69" s="4"/>
      <c r="G69" s="4"/>
      <c r="H69" s="4"/>
      <c r="I69" s="150" t="s">
        <v>6</v>
      </c>
      <c r="J69" s="31" t="s">
        <v>33</v>
      </c>
      <c r="K69" s="150" t="s">
        <v>265</v>
      </c>
      <c r="L69" s="31">
        <v>100000</v>
      </c>
    </row>
    <row r="70" spans="2:13" x14ac:dyDescent="0.3">
      <c r="B70" s="4"/>
      <c r="C70" s="4"/>
      <c r="D70" s="4"/>
      <c r="F70" s="4"/>
      <c r="G70" s="4"/>
      <c r="H70" s="4"/>
      <c r="I70" s="150" t="s">
        <v>6</v>
      </c>
      <c r="J70" s="31" t="s">
        <v>33</v>
      </c>
      <c r="K70" s="150" t="s">
        <v>266</v>
      </c>
      <c r="L70" s="31">
        <v>100000</v>
      </c>
    </row>
    <row r="71" spans="2:13" x14ac:dyDescent="0.3">
      <c r="B71" s="4"/>
      <c r="C71" s="4"/>
      <c r="D71" s="4"/>
      <c r="F71" s="4"/>
      <c r="G71" s="4"/>
      <c r="H71" s="4"/>
      <c r="I71" s="150" t="s">
        <v>6</v>
      </c>
      <c r="J71" s="31" t="s">
        <v>33</v>
      </c>
      <c r="K71" s="150" t="s">
        <v>267</v>
      </c>
      <c r="L71" s="31">
        <v>100000</v>
      </c>
    </row>
    <row r="72" spans="2:13" x14ac:dyDescent="0.3">
      <c r="B72" s="4"/>
      <c r="C72" s="4"/>
      <c r="D72" s="4"/>
      <c r="F72" s="4"/>
      <c r="G72" s="4"/>
      <c r="H72" s="4"/>
      <c r="I72" s="150" t="s">
        <v>6</v>
      </c>
      <c r="J72" s="31" t="s">
        <v>33</v>
      </c>
      <c r="K72" s="150" t="s">
        <v>268</v>
      </c>
      <c r="L72" s="31">
        <v>100000</v>
      </c>
    </row>
    <row r="73" spans="2:13" x14ac:dyDescent="0.3">
      <c r="B73" s="4"/>
      <c r="C73" s="4"/>
      <c r="D73" s="4"/>
      <c r="F73" s="4"/>
      <c r="G73" s="4"/>
      <c r="H73" s="4"/>
      <c r="I73" s="150" t="s">
        <v>6</v>
      </c>
      <c r="J73" s="31" t="s">
        <v>33</v>
      </c>
      <c r="K73" s="150" t="s">
        <v>269</v>
      </c>
      <c r="L73" s="31">
        <v>100000</v>
      </c>
    </row>
    <row r="74" spans="2:13" x14ac:dyDescent="0.3">
      <c r="B74" s="4"/>
      <c r="C74" s="4"/>
      <c r="D74" s="4"/>
      <c r="F74" s="4"/>
      <c r="G74" s="4"/>
      <c r="H74" s="4"/>
      <c r="I74" s="150" t="s">
        <v>6</v>
      </c>
      <c r="J74" s="31" t="s">
        <v>33</v>
      </c>
      <c r="K74" s="150" t="s">
        <v>270</v>
      </c>
      <c r="L74" s="31">
        <v>100000</v>
      </c>
      <c r="M74" s="3"/>
    </row>
    <row r="75" spans="2:13" x14ac:dyDescent="0.3">
      <c r="B75" s="4"/>
      <c r="C75" s="4"/>
      <c r="D75" s="4"/>
      <c r="F75" s="4"/>
      <c r="G75" s="4"/>
      <c r="H75" s="4"/>
      <c r="I75" s="150" t="s">
        <v>6</v>
      </c>
      <c r="J75" s="31" t="s">
        <v>33</v>
      </c>
      <c r="K75" s="150" t="s">
        <v>271</v>
      </c>
      <c r="L75" s="31">
        <v>50000</v>
      </c>
      <c r="M75" s="3"/>
    </row>
    <row r="76" spans="2:13" x14ac:dyDescent="0.3">
      <c r="B76" s="4"/>
      <c r="C76" s="4"/>
      <c r="D76" s="4"/>
      <c r="F76" s="4"/>
      <c r="G76" s="4"/>
      <c r="H76" s="4"/>
      <c r="I76" s="150" t="s">
        <v>6</v>
      </c>
      <c r="J76" s="31" t="s">
        <v>33</v>
      </c>
      <c r="K76" s="150" t="s">
        <v>272</v>
      </c>
      <c r="L76" s="31">
        <v>50000</v>
      </c>
      <c r="M76" s="3"/>
    </row>
    <row r="77" spans="2:13" x14ac:dyDescent="0.3">
      <c r="B77" s="4"/>
      <c r="C77" s="4"/>
      <c r="D77" s="4"/>
      <c r="F77" s="4"/>
      <c r="G77" s="4"/>
      <c r="H77" s="4"/>
      <c r="I77" s="150" t="s">
        <v>6</v>
      </c>
      <c r="J77" s="31" t="s">
        <v>33</v>
      </c>
      <c r="K77" s="150" t="s">
        <v>273</v>
      </c>
      <c r="L77" s="31">
        <v>50000</v>
      </c>
      <c r="M77" s="3"/>
    </row>
    <row r="78" spans="2:13" x14ac:dyDescent="0.3">
      <c r="B78" s="4"/>
      <c r="C78" s="4"/>
      <c r="D78" s="4"/>
      <c r="F78" s="4"/>
      <c r="G78" s="4"/>
      <c r="H78" s="4"/>
      <c r="I78" s="150" t="s">
        <v>6</v>
      </c>
      <c r="J78" s="31" t="s">
        <v>33</v>
      </c>
      <c r="K78" s="150" t="s">
        <v>274</v>
      </c>
      <c r="L78" s="31">
        <v>50000</v>
      </c>
    </row>
    <row r="79" spans="2:13" x14ac:dyDescent="0.3">
      <c r="B79" s="4"/>
      <c r="C79" s="4"/>
      <c r="D79" s="4"/>
      <c r="F79" s="4"/>
      <c r="G79" s="4"/>
      <c r="H79" s="4"/>
      <c r="I79" s="150" t="s">
        <v>6</v>
      </c>
      <c r="J79" s="31" t="s">
        <v>33</v>
      </c>
      <c r="K79" s="150" t="s">
        <v>275</v>
      </c>
      <c r="L79" s="31">
        <v>50000</v>
      </c>
    </row>
    <row r="80" spans="2:13" x14ac:dyDescent="0.3">
      <c r="B80" s="4"/>
      <c r="C80" s="4"/>
      <c r="D80" s="4"/>
      <c r="F80" s="4"/>
      <c r="G80" s="4"/>
      <c r="H80" s="4"/>
      <c r="I80" s="150" t="s">
        <v>6</v>
      </c>
      <c r="J80" s="31" t="s">
        <v>33</v>
      </c>
      <c r="K80" s="150" t="s">
        <v>276</v>
      </c>
      <c r="L80" s="31">
        <v>50000</v>
      </c>
    </row>
    <row r="81" spans="2:15" x14ac:dyDescent="0.3">
      <c r="B81" s="4"/>
      <c r="C81" s="4"/>
      <c r="D81" s="4"/>
      <c r="F81" s="4"/>
      <c r="G81" s="4"/>
      <c r="H81" s="4"/>
      <c r="I81" s="150" t="s">
        <v>6</v>
      </c>
      <c r="J81" s="31" t="s">
        <v>34</v>
      </c>
      <c r="K81" s="150" t="s">
        <v>1349</v>
      </c>
      <c r="L81" s="31">
        <v>50000</v>
      </c>
    </row>
    <row r="82" spans="2:15" x14ac:dyDescent="0.3">
      <c r="B82" s="4"/>
      <c r="C82" s="4"/>
      <c r="D82" s="4"/>
      <c r="F82" s="4"/>
      <c r="G82" s="4"/>
      <c r="H82" s="4"/>
      <c r="I82" s="150" t="s">
        <v>6</v>
      </c>
      <c r="J82" s="31" t="s">
        <v>33</v>
      </c>
      <c r="K82" s="150" t="s">
        <v>1350</v>
      </c>
      <c r="L82" s="31">
        <v>100000</v>
      </c>
    </row>
    <row r="83" spans="2:15" x14ac:dyDescent="0.3">
      <c r="B83" s="4"/>
      <c r="C83" s="4"/>
      <c r="D83" s="4"/>
      <c r="F83" s="4"/>
      <c r="G83" s="4"/>
      <c r="H83" s="4"/>
      <c r="I83" s="150" t="s">
        <v>1480</v>
      </c>
      <c r="J83" s="31" t="s">
        <v>88</v>
      </c>
      <c r="K83" s="150" t="s">
        <v>1064</v>
      </c>
      <c r="L83" s="31">
        <v>50000</v>
      </c>
    </row>
    <row r="84" spans="2:15" x14ac:dyDescent="0.3">
      <c r="B84" s="4"/>
      <c r="C84" s="4"/>
      <c r="D84" s="4"/>
      <c r="F84" s="4"/>
      <c r="G84" s="4"/>
      <c r="H84" s="4"/>
      <c r="I84" s="150" t="s">
        <v>1480</v>
      </c>
      <c r="J84" s="31" t="s">
        <v>88</v>
      </c>
      <c r="K84" s="150" t="s">
        <v>1065</v>
      </c>
      <c r="L84" s="31">
        <v>50000</v>
      </c>
    </row>
    <row r="85" spans="2:15" x14ac:dyDescent="0.3">
      <c r="B85" s="4"/>
      <c r="C85" s="4"/>
      <c r="D85" s="4"/>
      <c r="F85" s="4"/>
      <c r="G85" s="4"/>
      <c r="H85" s="4"/>
      <c r="I85" s="150" t="s">
        <v>1480</v>
      </c>
      <c r="J85" s="31" t="s">
        <v>88</v>
      </c>
      <c r="K85" s="150" t="s">
        <v>1066</v>
      </c>
      <c r="L85" s="31">
        <v>50000</v>
      </c>
    </row>
    <row r="86" spans="2:15" x14ac:dyDescent="0.3">
      <c r="B86" s="4"/>
      <c r="C86" s="4"/>
      <c r="D86" s="4"/>
      <c r="F86" s="4"/>
      <c r="G86" s="4"/>
      <c r="H86" s="4"/>
      <c r="I86" s="150" t="s">
        <v>1480</v>
      </c>
      <c r="J86" s="31" t="s">
        <v>88</v>
      </c>
      <c r="K86" s="150" t="s">
        <v>305</v>
      </c>
      <c r="L86" s="31">
        <v>200000</v>
      </c>
    </row>
    <row r="87" spans="2:15" x14ac:dyDescent="0.3">
      <c r="B87" s="4"/>
      <c r="C87" s="4"/>
      <c r="D87" s="4"/>
      <c r="F87" s="4"/>
      <c r="G87" s="4"/>
      <c r="H87" s="4"/>
      <c r="I87" s="150" t="s">
        <v>1480</v>
      </c>
      <c r="J87" s="31" t="s">
        <v>88</v>
      </c>
      <c r="K87" s="150" t="s">
        <v>306</v>
      </c>
      <c r="L87" s="31">
        <v>200000</v>
      </c>
    </row>
    <row r="88" spans="2:15" x14ac:dyDescent="0.3">
      <c r="B88" s="4"/>
      <c r="C88" s="4"/>
      <c r="D88" s="4"/>
      <c r="F88" s="4"/>
      <c r="G88" s="4"/>
      <c r="H88" s="4"/>
      <c r="I88" s="150" t="s">
        <v>1480</v>
      </c>
      <c r="J88" s="31" t="s">
        <v>88</v>
      </c>
      <c r="K88" s="150" t="s">
        <v>303</v>
      </c>
      <c r="L88" s="31">
        <v>200000</v>
      </c>
    </row>
    <row r="89" spans="2:15" x14ac:dyDescent="0.3">
      <c r="B89" s="4"/>
      <c r="C89" s="4"/>
      <c r="D89" s="4"/>
      <c r="F89" s="4"/>
      <c r="G89" s="4"/>
      <c r="H89" s="4"/>
      <c r="I89" s="150" t="s">
        <v>1480</v>
      </c>
      <c r="J89" s="31" t="s">
        <v>88</v>
      </c>
      <c r="K89" s="150" t="s">
        <v>304</v>
      </c>
      <c r="L89" s="31">
        <v>200000</v>
      </c>
    </row>
    <row r="90" spans="2:15" x14ac:dyDescent="0.3">
      <c r="B90" s="4"/>
      <c r="C90" s="4"/>
      <c r="D90" s="4"/>
      <c r="F90" s="4"/>
      <c r="G90" s="4"/>
      <c r="H90" s="4"/>
      <c r="I90" s="150" t="s">
        <v>1480</v>
      </c>
      <c r="J90" s="31" t="s">
        <v>88</v>
      </c>
      <c r="K90" s="150" t="s">
        <v>307</v>
      </c>
      <c r="L90" s="31">
        <v>200000</v>
      </c>
      <c r="O90" s="3"/>
    </row>
    <row r="91" spans="2:15" x14ac:dyDescent="0.3">
      <c r="B91" s="4"/>
      <c r="C91" s="4"/>
      <c r="D91" s="4"/>
      <c r="F91" s="4"/>
      <c r="G91" s="4"/>
      <c r="H91" s="4"/>
      <c r="I91" s="150" t="s">
        <v>1480</v>
      </c>
      <c r="J91" s="31" t="s">
        <v>38</v>
      </c>
      <c r="K91" s="150" t="s">
        <v>192</v>
      </c>
      <c r="L91" s="31">
        <v>50000</v>
      </c>
      <c r="O91" s="3"/>
    </row>
    <row r="92" spans="2:15" x14ac:dyDescent="0.3">
      <c r="B92" s="4"/>
      <c r="C92" s="4"/>
      <c r="D92" s="4"/>
      <c r="F92" s="4"/>
      <c r="G92" s="4"/>
      <c r="H92" s="4"/>
      <c r="I92" s="150" t="s">
        <v>1480</v>
      </c>
      <c r="J92" s="31" t="s">
        <v>88</v>
      </c>
      <c r="K92" s="150" t="s">
        <v>193</v>
      </c>
      <c r="L92" s="31">
        <v>50000</v>
      </c>
      <c r="O92" s="3"/>
    </row>
    <row r="93" spans="2:15" x14ac:dyDescent="0.3">
      <c r="B93" s="4"/>
      <c r="C93" s="4"/>
      <c r="D93" s="4"/>
      <c r="F93" s="4"/>
      <c r="G93" s="4"/>
      <c r="H93" s="4"/>
      <c r="I93" s="150" t="s">
        <v>1480</v>
      </c>
      <c r="J93" s="31" t="s">
        <v>88</v>
      </c>
      <c r="K93" s="150" t="s">
        <v>194</v>
      </c>
      <c r="L93" s="31">
        <v>50000</v>
      </c>
      <c r="O93" s="3"/>
    </row>
    <row r="94" spans="2:15" x14ac:dyDescent="0.3">
      <c r="B94" s="4"/>
      <c r="C94" s="4"/>
      <c r="D94" s="4"/>
      <c r="F94" s="4"/>
      <c r="G94" s="4"/>
      <c r="H94" s="4"/>
      <c r="I94" s="150" t="s">
        <v>1480</v>
      </c>
      <c r="J94" s="31" t="s">
        <v>89</v>
      </c>
      <c r="K94" s="150" t="s">
        <v>197</v>
      </c>
      <c r="L94" s="31">
        <v>100000</v>
      </c>
    </row>
    <row r="95" spans="2:15" x14ac:dyDescent="0.3">
      <c r="B95" s="4"/>
      <c r="C95" s="4"/>
      <c r="D95" s="4"/>
      <c r="F95" s="4"/>
      <c r="G95" s="4"/>
      <c r="H95" s="4"/>
      <c r="I95" s="150" t="s">
        <v>1480</v>
      </c>
      <c r="J95" s="31" t="s">
        <v>89</v>
      </c>
      <c r="K95" s="150" t="s">
        <v>199</v>
      </c>
      <c r="L95" s="31">
        <v>100000</v>
      </c>
    </row>
    <row r="96" spans="2:15" x14ac:dyDescent="0.3">
      <c r="B96" s="4"/>
      <c r="C96" s="4"/>
      <c r="D96" s="4"/>
      <c r="F96" s="4"/>
      <c r="G96" s="4"/>
      <c r="H96" s="4"/>
      <c r="I96" s="150" t="s">
        <v>1480</v>
      </c>
      <c r="J96" s="31" t="s">
        <v>89</v>
      </c>
      <c r="K96" s="150" t="s">
        <v>198</v>
      </c>
      <c r="L96" s="31">
        <v>100000</v>
      </c>
    </row>
    <row r="97" spans="2:12" x14ac:dyDescent="0.3">
      <c r="B97" s="4"/>
      <c r="C97" s="4"/>
      <c r="D97" s="4"/>
      <c r="F97" s="4"/>
      <c r="G97" s="4"/>
      <c r="H97" s="4"/>
      <c r="I97" s="150" t="s">
        <v>1480</v>
      </c>
      <c r="J97" s="31" t="s">
        <v>89</v>
      </c>
      <c r="K97" s="150" t="s">
        <v>200</v>
      </c>
      <c r="L97" s="31">
        <v>50000</v>
      </c>
    </row>
    <row r="98" spans="2:12" x14ac:dyDescent="0.3">
      <c r="B98" s="4"/>
      <c r="C98" s="4"/>
      <c r="D98" s="4"/>
      <c r="F98" s="4"/>
      <c r="G98" s="4"/>
      <c r="H98" s="4"/>
      <c r="I98" s="150" t="s">
        <v>1480</v>
      </c>
      <c r="J98" s="31" t="s">
        <v>89</v>
      </c>
      <c r="K98" s="150" t="s">
        <v>201</v>
      </c>
      <c r="L98" s="31">
        <v>50000</v>
      </c>
    </row>
    <row r="99" spans="2:12" x14ac:dyDescent="0.3">
      <c r="B99" s="4"/>
      <c r="C99" s="4"/>
      <c r="D99" s="4"/>
      <c r="F99" s="4"/>
      <c r="G99" s="4"/>
      <c r="H99" s="4"/>
      <c r="I99" s="150" t="s">
        <v>1480</v>
      </c>
      <c r="J99" s="31" t="s">
        <v>31</v>
      </c>
      <c r="K99" s="150" t="s">
        <v>184</v>
      </c>
      <c r="L99" s="31">
        <v>100000</v>
      </c>
    </row>
    <row r="100" spans="2:12" x14ac:dyDescent="0.3">
      <c r="B100" s="4"/>
      <c r="C100" s="4"/>
      <c r="D100" s="4"/>
      <c r="F100" s="4"/>
      <c r="G100" s="4"/>
      <c r="H100" s="4"/>
      <c r="I100" s="150" t="s">
        <v>1480</v>
      </c>
      <c r="J100" s="31" t="s">
        <v>31</v>
      </c>
      <c r="K100" s="150" t="s">
        <v>185</v>
      </c>
      <c r="L100" s="31">
        <v>250000</v>
      </c>
    </row>
    <row r="101" spans="2:12" x14ac:dyDescent="0.3">
      <c r="B101" s="4"/>
      <c r="C101" s="4"/>
      <c r="D101" s="4"/>
      <c r="F101" s="4"/>
      <c r="G101" s="4"/>
      <c r="H101" s="4"/>
      <c r="I101" s="150" t="s">
        <v>1480</v>
      </c>
      <c r="J101" s="31" t="s">
        <v>40</v>
      </c>
      <c r="K101" s="150" t="s">
        <v>1472</v>
      </c>
      <c r="L101" s="31">
        <v>50000</v>
      </c>
    </row>
    <row r="102" spans="2:12" x14ac:dyDescent="0.3">
      <c r="B102" s="4"/>
      <c r="C102" s="4"/>
      <c r="D102" s="4"/>
      <c r="F102" s="4"/>
      <c r="G102" s="4"/>
      <c r="H102" s="4"/>
      <c r="I102" s="150" t="s">
        <v>1480</v>
      </c>
      <c r="J102" s="31" t="s">
        <v>40</v>
      </c>
      <c r="K102" s="150" t="s">
        <v>186</v>
      </c>
      <c r="L102" s="31">
        <v>250000</v>
      </c>
    </row>
    <row r="103" spans="2:12" x14ac:dyDescent="0.3">
      <c r="B103" s="4"/>
      <c r="C103" s="4"/>
      <c r="D103" s="4"/>
      <c r="F103" s="4"/>
      <c r="G103" s="4"/>
      <c r="H103" s="4"/>
      <c r="I103" s="150" t="s">
        <v>1480</v>
      </c>
      <c r="J103" s="31" t="s">
        <v>40</v>
      </c>
      <c r="K103" s="150" t="s">
        <v>1473</v>
      </c>
      <c r="L103" s="31">
        <v>50000</v>
      </c>
    </row>
    <row r="104" spans="2:12" x14ac:dyDescent="0.3">
      <c r="B104" s="4"/>
      <c r="C104" s="4"/>
      <c r="D104" s="4"/>
      <c r="F104" s="4"/>
      <c r="G104" s="4"/>
      <c r="H104" s="4"/>
      <c r="I104" s="150" t="s">
        <v>1480</v>
      </c>
      <c r="J104" s="31" t="s">
        <v>40</v>
      </c>
      <c r="K104" s="150" t="s">
        <v>1474</v>
      </c>
      <c r="L104" s="31">
        <v>50000</v>
      </c>
    </row>
    <row r="105" spans="2:12" x14ac:dyDescent="0.3">
      <c r="B105" s="4"/>
      <c r="C105" s="4"/>
      <c r="D105" s="4"/>
      <c r="F105" s="4"/>
      <c r="G105" s="4"/>
      <c r="H105" s="4"/>
      <c r="I105" s="150" t="s">
        <v>1480</v>
      </c>
      <c r="J105" s="31" t="s">
        <v>40</v>
      </c>
      <c r="K105" s="150" t="s">
        <v>187</v>
      </c>
      <c r="L105" s="31">
        <v>250000</v>
      </c>
    </row>
    <row r="106" spans="2:12" x14ac:dyDescent="0.3">
      <c r="I106" s="150" t="s">
        <v>1480</v>
      </c>
      <c r="J106" s="31" t="s">
        <v>40</v>
      </c>
      <c r="K106" s="150" t="s">
        <v>1475</v>
      </c>
      <c r="L106" s="31">
        <v>50000</v>
      </c>
    </row>
    <row r="107" spans="2:12" x14ac:dyDescent="0.3">
      <c r="I107" s="150" t="s">
        <v>1480</v>
      </c>
      <c r="J107" s="31" t="s">
        <v>40</v>
      </c>
      <c r="K107" s="150" t="s">
        <v>1476</v>
      </c>
      <c r="L107" s="31">
        <v>50000</v>
      </c>
    </row>
    <row r="108" spans="2:12" x14ac:dyDescent="0.3">
      <c r="I108" s="150" t="s">
        <v>1480</v>
      </c>
      <c r="J108" s="31" t="s">
        <v>40</v>
      </c>
      <c r="K108" s="150" t="s">
        <v>1477</v>
      </c>
      <c r="L108" s="31">
        <v>50000</v>
      </c>
    </row>
    <row r="109" spans="2:12" x14ac:dyDescent="0.3">
      <c r="I109" s="150" t="s">
        <v>1480</v>
      </c>
      <c r="J109" s="31" t="s">
        <v>40</v>
      </c>
      <c r="K109" s="150" t="s">
        <v>1478</v>
      </c>
      <c r="L109" s="31">
        <v>50000</v>
      </c>
    </row>
    <row r="110" spans="2:12" x14ac:dyDescent="0.3">
      <c r="I110" s="150" t="s">
        <v>1480</v>
      </c>
      <c r="J110" s="31" t="s">
        <v>38</v>
      </c>
      <c r="K110" s="150" t="s">
        <v>176</v>
      </c>
      <c r="L110" s="31">
        <v>150000</v>
      </c>
    </row>
    <row r="111" spans="2:12" x14ac:dyDescent="0.3">
      <c r="I111" s="150" t="s">
        <v>1480</v>
      </c>
      <c r="J111" s="31" t="s">
        <v>38</v>
      </c>
      <c r="K111" s="150" t="s">
        <v>177</v>
      </c>
      <c r="L111" s="31">
        <v>150000</v>
      </c>
    </row>
    <row r="112" spans="2:12" x14ac:dyDescent="0.3">
      <c r="I112" s="150" t="s">
        <v>1480</v>
      </c>
      <c r="J112" s="31" t="s">
        <v>88</v>
      </c>
      <c r="K112" s="150" t="s">
        <v>180</v>
      </c>
      <c r="L112" s="31">
        <v>150000</v>
      </c>
    </row>
    <row r="113" spans="9:12" x14ac:dyDescent="0.3">
      <c r="I113" s="150" t="s">
        <v>1480</v>
      </c>
      <c r="J113" s="31" t="s">
        <v>31</v>
      </c>
      <c r="K113" s="150" t="s">
        <v>196</v>
      </c>
      <c r="L113" s="31">
        <v>600000</v>
      </c>
    </row>
    <row r="114" spans="9:12" x14ac:dyDescent="0.3">
      <c r="I114" s="150" t="s">
        <v>1480</v>
      </c>
      <c r="J114" s="31" t="s">
        <v>88</v>
      </c>
      <c r="K114" s="150" t="s">
        <v>195</v>
      </c>
      <c r="L114" s="31">
        <v>250000</v>
      </c>
    </row>
    <row r="115" spans="9:12" x14ac:dyDescent="0.3">
      <c r="I115" s="150" t="s">
        <v>1480</v>
      </c>
      <c r="J115" s="31" t="s">
        <v>31</v>
      </c>
      <c r="K115" s="150" t="s">
        <v>182</v>
      </c>
      <c r="L115" s="31">
        <v>400000</v>
      </c>
    </row>
    <row r="116" spans="9:12" x14ac:dyDescent="0.3">
      <c r="I116" s="150" t="s">
        <v>1480</v>
      </c>
      <c r="J116" s="31" t="s">
        <v>31</v>
      </c>
      <c r="K116" s="150" t="s">
        <v>183</v>
      </c>
      <c r="L116" s="31">
        <v>400000</v>
      </c>
    </row>
    <row r="117" spans="9:12" x14ac:dyDescent="0.3">
      <c r="I117" s="150" t="s">
        <v>1480</v>
      </c>
      <c r="J117" s="31" t="s">
        <v>88</v>
      </c>
      <c r="K117" s="150" t="s">
        <v>181</v>
      </c>
      <c r="L117" s="31">
        <v>200000</v>
      </c>
    </row>
    <row r="118" spans="9:12" x14ac:dyDescent="0.3">
      <c r="I118" s="150" t="s">
        <v>1480</v>
      </c>
      <c r="J118" s="31" t="s">
        <v>89</v>
      </c>
      <c r="K118" s="150" t="s">
        <v>1479</v>
      </c>
      <c r="L118" s="31">
        <v>50000</v>
      </c>
    </row>
    <row r="119" spans="9:12" x14ac:dyDescent="0.3">
      <c r="I119" s="150" t="s">
        <v>1480</v>
      </c>
      <c r="J119" s="31" t="s">
        <v>89</v>
      </c>
      <c r="K119" s="150" t="s">
        <v>191</v>
      </c>
      <c r="L119" s="31">
        <v>50000</v>
      </c>
    </row>
    <row r="120" spans="9:12" x14ac:dyDescent="0.3">
      <c r="I120" s="150" t="s">
        <v>1480</v>
      </c>
      <c r="J120" s="31" t="s">
        <v>89</v>
      </c>
      <c r="K120" s="150" t="s">
        <v>189</v>
      </c>
      <c r="L120" s="31">
        <v>50000</v>
      </c>
    </row>
    <row r="121" spans="9:12" x14ac:dyDescent="0.3">
      <c r="I121" s="150" t="s">
        <v>1480</v>
      </c>
      <c r="J121" s="31" t="s">
        <v>89</v>
      </c>
      <c r="K121" s="150" t="s">
        <v>190</v>
      </c>
      <c r="L121" s="31">
        <v>50000</v>
      </c>
    </row>
    <row r="122" spans="9:12" x14ac:dyDescent="0.3">
      <c r="I122" s="150" t="s">
        <v>1480</v>
      </c>
      <c r="J122" s="31" t="s">
        <v>89</v>
      </c>
      <c r="K122" s="150" t="s">
        <v>188</v>
      </c>
      <c r="L122" s="31">
        <v>50000</v>
      </c>
    </row>
  </sheetData>
  <mergeCells count="2">
    <mergeCell ref="B14:B27"/>
    <mergeCell ref="B28:B33"/>
  </mergeCells>
  <phoneticPr fontId="2" type="noConversion"/>
  <conditionalFormatting sqref="C14:C27">
    <cfRule type="duplicateValues" dxfId="8" priority="20"/>
    <cfRule type="duplicateValues" dxfId="7" priority="124"/>
  </conditionalFormatting>
  <conditionalFormatting sqref="K84:K92">
    <cfRule type="duplicateValues" dxfId="6" priority="2"/>
    <cfRule type="duplicateValues" dxfId="5" priority="3"/>
  </conditionalFormatting>
  <conditionalFormatting sqref="K96:K122">
    <cfRule type="duplicateValues" dxfId="4" priority="170"/>
  </conditionalFormatting>
  <conditionalFormatting sqref="K117:K122 K93:K95 K4:K83">
    <cfRule type="duplicateValues" dxfId="3" priority="4"/>
  </conditionalFormatting>
  <conditionalFormatting sqref="K117:K122 K93:K95">
    <cfRule type="duplicateValues" dxfId="2" priority="5"/>
  </conditionalFormatting>
  <conditionalFormatting sqref="K120:K1048576 K1:K3">
    <cfRule type="duplicateValues" dxfId="1" priority="15"/>
  </conditionalFormatting>
  <conditionalFormatting sqref="K120:K1048576">
    <cfRule type="duplicateValues" dxfId="0" priority="16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①가전(단품)</vt:lpstr>
      <vt:lpstr>②가전(동시구매)_A</vt:lpstr>
      <vt:lpstr>②가전(동시구매)_B</vt:lpstr>
      <vt:lpstr>②가전(동시구매)_C</vt:lpstr>
      <vt:lpstr>②가전(동시구매)_D</vt:lpstr>
      <vt:lpstr>②가전(동시구매)_E</vt:lpstr>
      <vt:lpstr>③삼성스마트패키지 (L.Point)</vt:lpstr>
      <vt:lpstr>④의류케어 다품목B </vt:lpstr>
      <vt:lpstr>⑥냉+김냉 패키지</vt:lpstr>
      <vt:lpstr>'①가전(단품)'!Print_Area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profileadmin</dc:creator>
  <cp:lastModifiedBy>신승원</cp:lastModifiedBy>
  <cp:lastPrinted>2020-01-30T00:54:27Z</cp:lastPrinted>
  <dcterms:created xsi:type="dcterms:W3CDTF">2019-03-20T09:06:15Z</dcterms:created>
  <dcterms:modified xsi:type="dcterms:W3CDTF">2026-07-31T05:37:09Z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C:\mySingle\TEMP\190322 삼성 캐시백 캐시백 양식변경(0).xlsx</vt:lpwstr>
  </property>
  <property fmtid="{D5CDD505-2E9C-101B-9397-08002B2CF9AE}" pid="4" name="FLCMData">
    <vt:lpwstr>9C9D09E334866C0E2BBA2C8596718C59B43EF1EC11143EB44DE7DFF992E84CB47868A616A7E3BA4AA2F2DF87A2962405EF0CE2301541E621E508C4A1803CA127</vt:lpwstr>
  </property>
</Properties>
</file>